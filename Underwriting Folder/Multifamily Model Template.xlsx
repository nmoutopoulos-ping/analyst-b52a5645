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/Desktop/Ping/Underwriting Folder/"/>
    </mc:Choice>
  </mc:AlternateContent>
  <xr:revisionPtr revIDLastSave="0" documentId="13_ncr:1_{362A3ACE-DBB0-5743-87A3-4D431FAA7FB1}" xr6:coauthVersionLast="47" xr6:coauthVersionMax="47" xr10:uidLastSave="{00000000-0000-0000-0000-000000000000}"/>
  <bookViews>
    <workbookView xWindow="0" yWindow="600" windowWidth="28800" windowHeight="15760" xr2:uid="{3505690D-1D53-B94C-A5CA-3D58C1AFFD17}"/>
  </bookViews>
  <sheets>
    <sheet name="Raw Comps" sheetId="17" r:id="rId1"/>
    <sheet name="Rent Assumptions" sheetId="16" r:id="rId2"/>
    <sheet name="Assumptions" sheetId="10" r:id="rId3"/>
    <sheet name="Pricing Scenarios" sheetId="18" r:id="rId4"/>
    <sheet name="Cash Flow" sheetId="4" r:id="rId5"/>
    <sheet name="Returns" sheetId="5" r:id="rId6"/>
    <sheet name="Debt Schedule" sheetId="6" r:id="rId7"/>
    <sheet name="Inputs" sheetId="8" state="hidden" r:id="rId8"/>
    <sheet name="ZZZOLD" sheetId="1" state="hidden" r:id="rId9"/>
  </sheets>
  <definedNames>
    <definedName name="_xlnm._FilterDatabase" localSheetId="2" hidden="1">Assumptions!$H$13:$I$20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0" l="1"/>
  <c r="B33" i="10"/>
  <c r="G35" i="10"/>
  <c r="B32" i="10"/>
  <c r="B31" i="10"/>
  <c r="B30" i="10"/>
  <c r="D20" i="18"/>
  <c r="D19" i="18"/>
  <c r="D18" i="18"/>
  <c r="D17" i="18"/>
  <c r="D16" i="18"/>
  <c r="D15" i="18"/>
  <c r="D14" i="18"/>
  <c r="D13" i="18"/>
  <c r="D12" i="18"/>
  <c r="D11" i="18"/>
  <c r="D10" i="18"/>
  <c r="F6" i="18"/>
  <c r="F5" i="18"/>
  <c r="D20" i="10"/>
  <c r="D19" i="10"/>
  <c r="D18" i="10"/>
  <c r="D17" i="10"/>
  <c r="D16" i="10"/>
  <c r="D15" i="10"/>
  <c r="D14" i="10"/>
  <c r="C14" i="4"/>
  <c r="E30" i="16"/>
  <c r="B30" i="16" s="1"/>
  <c r="E29" i="16"/>
  <c r="B29" i="16" s="1"/>
  <c r="E28" i="16"/>
  <c r="B28" i="16" s="1"/>
  <c r="E27" i="16"/>
  <c r="B27" i="16" s="1"/>
  <c r="E26" i="16"/>
  <c r="B26" i="16" s="1"/>
  <c r="E25" i="16"/>
  <c r="B25" i="16" s="1"/>
  <c r="E24" i="16"/>
  <c r="B24" i="16" s="1"/>
  <c r="E23" i="16"/>
  <c r="B23" i="16" s="1"/>
  <c r="E22" i="16"/>
  <c r="B22" i="16" s="1"/>
  <c r="E21" i="16"/>
  <c r="B21" i="16" s="1"/>
  <c r="E20" i="16"/>
  <c r="B20" i="16" s="1"/>
  <c r="E19" i="16"/>
  <c r="B19" i="16" s="1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G23" i="16"/>
  <c r="H22" i="16"/>
  <c r="G22" i="16"/>
  <c r="H21" i="16"/>
  <c r="G21" i="16"/>
  <c r="H20" i="16"/>
  <c r="G20" i="16"/>
  <c r="H19" i="16"/>
  <c r="G19" i="16"/>
  <c r="C8" i="16" a="1"/>
  <c r="C16" i="5"/>
  <c r="C15" i="5"/>
  <c r="C14" i="5"/>
  <c r="C13" i="5"/>
  <c r="C12" i="5"/>
  <c r="C11" i="5"/>
  <c r="C8" i="5"/>
  <c r="C7" i="5"/>
  <c r="C6" i="5"/>
  <c r="C8" i="6"/>
  <c r="C7" i="6"/>
  <c r="D13" i="6" s="1"/>
  <c r="C6" i="6"/>
  <c r="C9" i="6" s="1"/>
  <c r="F25" i="4"/>
  <c r="E25" i="4"/>
  <c r="N7" i="4"/>
  <c r="M7" i="4"/>
  <c r="L7" i="4"/>
  <c r="K7" i="4"/>
  <c r="J7" i="4"/>
  <c r="I7" i="4"/>
  <c r="H7" i="4"/>
  <c r="G7" i="4"/>
  <c r="F7" i="4"/>
  <c r="E7" i="4"/>
  <c r="C10" i="4"/>
  <c r="C53" i="10"/>
  <c r="N25" i="4" s="1"/>
  <c r="C9" i="10"/>
  <c r="C10" i="10" s="1"/>
  <c r="B23" i="8"/>
  <c r="B22" i="8"/>
  <c r="H20" i="8"/>
  <c r="G20" i="8"/>
  <c r="F20" i="8"/>
  <c r="E20" i="8"/>
  <c r="D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B75" i="8"/>
  <c r="B76" i="8" s="1"/>
  <c r="B50" i="8"/>
  <c r="B44" i="8"/>
  <c r="B27" i="8"/>
  <c r="B9" i="8"/>
  <c r="B8" i="8"/>
  <c r="D25" i="4"/>
  <c r="B14" i="6"/>
  <c r="C14" i="6" s="1"/>
  <c r="C13" i="6"/>
  <c r="C8" i="16" l="1"/>
  <c r="H8" i="16" s="1"/>
  <c r="E13" i="16"/>
  <c r="B13" i="16" s="1"/>
  <c r="G18" i="16"/>
  <c r="H18" i="16"/>
  <c r="H17" i="16"/>
  <c r="E14" i="16"/>
  <c r="B14" i="16" s="1"/>
  <c r="E15" i="16"/>
  <c r="B15" i="16" s="1"/>
  <c r="E8" i="16"/>
  <c r="B8" i="16" s="1"/>
  <c r="E16" i="16"/>
  <c r="B16" i="16" s="1"/>
  <c r="E9" i="16"/>
  <c r="B9" i="16" s="1"/>
  <c r="E17" i="16"/>
  <c r="B17" i="16" s="1"/>
  <c r="E10" i="16"/>
  <c r="B10" i="16" s="1"/>
  <c r="E18" i="16"/>
  <c r="B18" i="16" s="1"/>
  <c r="E11" i="16"/>
  <c r="B11" i="16" s="1"/>
  <c r="G17" i="16"/>
  <c r="E12" i="16"/>
  <c r="B12" i="16" s="1"/>
  <c r="H16" i="16"/>
  <c r="H15" i="16"/>
  <c r="H14" i="16"/>
  <c r="H13" i="16"/>
  <c r="H12" i="16"/>
  <c r="G15" i="16"/>
  <c r="G14" i="16"/>
  <c r="G13" i="16"/>
  <c r="G12" i="16"/>
  <c r="G8" i="16"/>
  <c r="G11" i="16"/>
  <c r="G10" i="16"/>
  <c r="G9" i="16"/>
  <c r="G16" i="16"/>
  <c r="H11" i="16"/>
  <c r="H10" i="16"/>
  <c r="H9" i="16"/>
  <c r="D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D49" i="6" s="1"/>
  <c r="C28" i="6"/>
  <c r="C36" i="6"/>
  <c r="D20" i="6"/>
  <c r="D44" i="6"/>
  <c r="C15" i="6"/>
  <c r="C30" i="6"/>
  <c r="C46" i="6"/>
  <c r="D15" i="6"/>
  <c r="D22" i="6"/>
  <c r="D30" i="6"/>
  <c r="D38" i="6"/>
  <c r="C44" i="6"/>
  <c r="D28" i="6"/>
  <c r="D16" i="6"/>
  <c r="D32" i="6"/>
  <c r="D40" i="6"/>
  <c r="D48" i="6"/>
  <c r="C16" i="6"/>
  <c r="C24" i="6"/>
  <c r="C32" i="6"/>
  <c r="C40" i="6"/>
  <c r="C48" i="6"/>
  <c r="D24" i="6"/>
  <c r="C26" i="6"/>
  <c r="C42" i="6"/>
  <c r="D36" i="6"/>
  <c r="C18" i="6"/>
  <c r="C34" i="6"/>
  <c r="D18" i="6"/>
  <c r="D26" i="6"/>
  <c r="D34" i="6"/>
  <c r="D42" i="6"/>
  <c r="G24" i="4"/>
  <c r="K24" i="4"/>
  <c r="G25" i="4"/>
  <c r="K25" i="4"/>
  <c r="H24" i="4"/>
  <c r="L24" i="4"/>
  <c r="D24" i="4"/>
  <c r="D26" i="4" s="1"/>
  <c r="H25" i="4"/>
  <c r="L25" i="4"/>
  <c r="E24" i="4"/>
  <c r="E26" i="4" s="1"/>
  <c r="I24" i="4"/>
  <c r="M24" i="4"/>
  <c r="C59" i="10"/>
  <c r="I25" i="4"/>
  <c r="M25" i="4"/>
  <c r="F24" i="4"/>
  <c r="F26" i="4" s="1"/>
  <c r="J24" i="4"/>
  <c r="N24" i="4"/>
  <c r="N26" i="4" s="1"/>
  <c r="C5" i="6"/>
  <c r="C10" i="5"/>
  <c r="C23" i="5" s="1"/>
  <c r="J25" i="4"/>
  <c r="L30" i="5"/>
  <c r="M30" i="5"/>
  <c r="I50" i="5"/>
  <c r="J50" i="5"/>
  <c r="K50" i="5"/>
  <c r="I30" i="5"/>
  <c r="L50" i="5"/>
  <c r="J30" i="5"/>
  <c r="M50" i="5"/>
  <c r="K30" i="5"/>
  <c r="B77" i="8"/>
  <c r="C21" i="6"/>
  <c r="C23" i="6"/>
  <c r="C25" i="6"/>
  <c r="C31" i="6"/>
  <c r="C33" i="6"/>
  <c r="C35" i="6"/>
  <c r="C37" i="6"/>
  <c r="C39" i="6"/>
  <c r="C41" i="6"/>
  <c r="C43" i="6"/>
  <c r="C45" i="6"/>
  <c r="C47" i="6"/>
  <c r="C19" i="6"/>
  <c r="C29" i="6"/>
  <c r="D17" i="6"/>
  <c r="D19" i="6"/>
  <c r="D21" i="6"/>
  <c r="D23" i="6"/>
  <c r="D25" i="6"/>
  <c r="D27" i="6"/>
  <c r="D29" i="6"/>
  <c r="D31" i="6"/>
  <c r="D33" i="6"/>
  <c r="D35" i="6"/>
  <c r="D37" i="6"/>
  <c r="D39" i="6"/>
  <c r="D41" i="6"/>
  <c r="D43" i="6"/>
  <c r="D45" i="6"/>
  <c r="D47" i="6"/>
  <c r="C49" i="6"/>
  <c r="B50" i="6"/>
  <c r="C17" i="6"/>
  <c r="C27" i="6"/>
  <c r="C17" i="10" l="1"/>
  <c r="H17" i="10" s="1"/>
  <c r="I17" i="10" s="1"/>
  <c r="E18" i="10"/>
  <c r="G18" i="10" s="1"/>
  <c r="C34" i="10" s="1"/>
  <c r="E17" i="10"/>
  <c r="G17" i="10" s="1"/>
  <c r="C33" i="10" s="1"/>
  <c r="E16" i="10"/>
  <c r="G16" i="10" s="1"/>
  <c r="C32" i="10" s="1"/>
  <c r="E15" i="10"/>
  <c r="G15" i="10" s="1"/>
  <c r="C31" i="10" s="1"/>
  <c r="E14" i="10"/>
  <c r="E20" i="10"/>
  <c r="G20" i="10" s="1"/>
  <c r="E19" i="10"/>
  <c r="G19" i="10" s="1"/>
  <c r="C16" i="10"/>
  <c r="C14" i="10"/>
  <c r="C20" i="10"/>
  <c r="C18" i="10"/>
  <c r="H18" i="10" s="1"/>
  <c r="I18" i="10" s="1"/>
  <c r="C19" i="10"/>
  <c r="H19" i="10" s="1"/>
  <c r="I19" i="10" s="1"/>
  <c r="M26" i="4"/>
  <c r="K26" i="4"/>
  <c r="G26" i="4"/>
  <c r="I26" i="4"/>
  <c r="L26" i="4"/>
  <c r="C15" i="10"/>
  <c r="C38" i="6"/>
  <c r="C20" i="6"/>
  <c r="D46" i="6"/>
  <c r="C22" i="6"/>
  <c r="J26" i="4"/>
  <c r="H26" i="4"/>
  <c r="E13" i="6"/>
  <c r="C10" i="6"/>
  <c r="D50" i="6"/>
  <c r="C50" i="6"/>
  <c r="B51" i="6"/>
  <c r="F14" i="10" l="1"/>
  <c r="F18" i="10"/>
  <c r="F16" i="10"/>
  <c r="F20" i="10"/>
  <c r="H20" i="10"/>
  <c r="I20" i="10" s="1"/>
  <c r="F19" i="10"/>
  <c r="H16" i="10"/>
  <c r="I16" i="10" s="1"/>
  <c r="F17" i="10"/>
  <c r="H15" i="10"/>
  <c r="I15" i="10" s="1"/>
  <c r="F15" i="10"/>
  <c r="F40" i="6"/>
  <c r="F44" i="6"/>
  <c r="F48" i="6"/>
  <c r="F42" i="6"/>
  <c r="F46" i="6"/>
  <c r="F49" i="6"/>
  <c r="F38" i="6"/>
  <c r="G13" i="6"/>
  <c r="F13" i="6"/>
  <c r="F43" i="6"/>
  <c r="F45" i="6"/>
  <c r="F39" i="6"/>
  <c r="F50" i="6"/>
  <c r="F41" i="6"/>
  <c r="F47" i="6"/>
  <c r="F37" i="6"/>
  <c r="D51" i="6"/>
  <c r="F51" i="6" s="1"/>
  <c r="C51" i="6"/>
  <c r="B52" i="6"/>
  <c r="H13" i="6" l="1"/>
  <c r="I13" i="6" s="1"/>
  <c r="E14" i="6" s="1"/>
  <c r="D52" i="6"/>
  <c r="F52" i="6" s="1"/>
  <c r="C52" i="6"/>
  <c r="B53" i="6"/>
  <c r="F14" i="6" l="1"/>
  <c r="G14" i="6"/>
  <c r="D53" i="6"/>
  <c r="F53" i="6" s="1"/>
  <c r="C53" i="6"/>
  <c r="B54" i="6"/>
  <c r="H14" i="6" l="1"/>
  <c r="I14" i="6" s="1"/>
  <c r="E15" i="6" s="1"/>
  <c r="D54" i="6"/>
  <c r="F54" i="6" s="1"/>
  <c r="C54" i="6"/>
  <c r="B55" i="6"/>
  <c r="G15" i="6" l="1"/>
  <c r="F15" i="6"/>
  <c r="B56" i="6"/>
  <c r="C55" i="6"/>
  <c r="D55" i="6"/>
  <c r="F55" i="6" s="1"/>
  <c r="H15" i="6" l="1"/>
  <c r="I15" i="6" s="1"/>
  <c r="E16" i="6" s="1"/>
  <c r="G16" i="6" s="1"/>
  <c r="B57" i="6"/>
  <c r="D56" i="6"/>
  <c r="F56" i="6" s="1"/>
  <c r="C56" i="6"/>
  <c r="F16" i="6" l="1"/>
  <c r="H16" i="6" s="1"/>
  <c r="I16" i="6" s="1"/>
  <c r="E17" i="6" s="1"/>
  <c r="F17" i="6"/>
  <c r="G17" i="6"/>
  <c r="C57" i="6"/>
  <c r="B58" i="6"/>
  <c r="D57" i="6"/>
  <c r="F57" i="6" s="1"/>
  <c r="H17" i="6" l="1"/>
  <c r="I17" i="6" s="1"/>
  <c r="E18" i="6" s="1"/>
  <c r="D58" i="6"/>
  <c r="F58" i="6" s="1"/>
  <c r="C58" i="6"/>
  <c r="B59" i="6"/>
  <c r="F18" i="6" l="1"/>
  <c r="G18" i="6"/>
  <c r="D59" i="6"/>
  <c r="F59" i="6" s="1"/>
  <c r="C59" i="6"/>
  <c r="B60" i="6"/>
  <c r="H18" i="6" l="1"/>
  <c r="I18" i="6" s="1"/>
  <c r="E19" i="6" s="1"/>
  <c r="D60" i="6"/>
  <c r="F60" i="6" s="1"/>
  <c r="C60" i="6"/>
  <c r="B61" i="6"/>
  <c r="G19" i="6" l="1"/>
  <c r="F19" i="6"/>
  <c r="H19" i="6" s="1"/>
  <c r="I19" i="6" s="1"/>
  <c r="E20" i="6" s="1"/>
  <c r="B62" i="6"/>
  <c r="D61" i="6"/>
  <c r="F61" i="6" s="1"/>
  <c r="C61" i="6"/>
  <c r="G20" i="6" l="1"/>
  <c r="F20" i="6"/>
  <c r="C62" i="6"/>
  <c r="D62" i="6"/>
  <c r="F62" i="6" s="1"/>
  <c r="B63" i="6"/>
  <c r="H20" i="6" l="1"/>
  <c r="I20" i="6" s="1"/>
  <c r="E21" i="6" s="1"/>
  <c r="G21" i="6"/>
  <c r="F21" i="6"/>
  <c r="H21" i="6" s="1"/>
  <c r="I21" i="6" s="1"/>
  <c r="E22" i="6" s="1"/>
  <c r="D63" i="6"/>
  <c r="F63" i="6" s="1"/>
  <c r="C63" i="6"/>
  <c r="B64" i="6"/>
  <c r="G22" i="6" l="1"/>
  <c r="F22" i="6"/>
  <c r="H22" i="6" s="1"/>
  <c r="I22" i="6" s="1"/>
  <c r="E23" i="6" s="1"/>
  <c r="B65" i="6"/>
  <c r="D64" i="6"/>
  <c r="F64" i="6" s="1"/>
  <c r="C64" i="6"/>
  <c r="F23" i="6" l="1"/>
  <c r="G23" i="6"/>
  <c r="D65" i="6"/>
  <c r="F65" i="6" s="1"/>
  <c r="C65" i="6"/>
  <c r="B66" i="6"/>
  <c r="H23" i="6" l="1"/>
  <c r="I23" i="6" s="1"/>
  <c r="E24" i="6" s="1"/>
  <c r="B67" i="6"/>
  <c r="D66" i="6"/>
  <c r="F66" i="6" s="1"/>
  <c r="C66" i="6"/>
  <c r="G24" i="6" l="1"/>
  <c r="F24" i="6"/>
  <c r="H24" i="6" s="1"/>
  <c r="I24" i="6" s="1"/>
  <c r="E25" i="6" s="1"/>
  <c r="B68" i="6"/>
  <c r="D67" i="6"/>
  <c r="F67" i="6" s="1"/>
  <c r="C67" i="6"/>
  <c r="F25" i="6" l="1"/>
  <c r="G25" i="6"/>
  <c r="D68" i="6"/>
  <c r="F68" i="6" s="1"/>
  <c r="C68" i="6"/>
  <c r="B69" i="6"/>
  <c r="H25" i="6" l="1"/>
  <c r="I25" i="6" s="1"/>
  <c r="E26" i="6" s="1"/>
  <c r="B70" i="6"/>
  <c r="D69" i="6"/>
  <c r="F69" i="6" s="1"/>
  <c r="C69" i="6"/>
  <c r="G26" i="6" l="1"/>
  <c r="F26" i="6"/>
  <c r="H26" i="6" s="1"/>
  <c r="I26" i="6" s="1"/>
  <c r="E27" i="6" s="1"/>
  <c r="C70" i="6"/>
  <c r="B71" i="6"/>
  <c r="D70" i="6"/>
  <c r="F70" i="6" s="1"/>
  <c r="F27" i="6" l="1"/>
  <c r="G27" i="6"/>
  <c r="D71" i="6"/>
  <c r="F71" i="6" s="1"/>
  <c r="C71" i="6"/>
  <c r="B72" i="6"/>
  <c r="H27" i="6" l="1"/>
  <c r="I27" i="6" s="1"/>
  <c r="E28" i="6" s="1"/>
  <c r="B73" i="6"/>
  <c r="D72" i="6"/>
  <c r="F72" i="6" s="1"/>
  <c r="C72" i="6"/>
  <c r="F28" i="6" l="1"/>
  <c r="G28" i="6"/>
  <c r="D73" i="6"/>
  <c r="F73" i="6" s="1"/>
  <c r="C73" i="6"/>
  <c r="B74" i="6"/>
  <c r="H28" i="6" l="1"/>
  <c r="I28" i="6" s="1"/>
  <c r="E29" i="6" s="1"/>
  <c r="B75" i="6"/>
  <c r="D74" i="6"/>
  <c r="F74" i="6" s="1"/>
  <c r="C74" i="6"/>
  <c r="G29" i="6" l="1"/>
  <c r="F29" i="6"/>
  <c r="H29" i="6" s="1"/>
  <c r="I29" i="6" s="1"/>
  <c r="E30" i="6" s="1"/>
  <c r="B76" i="6"/>
  <c r="D75" i="6"/>
  <c r="F75" i="6" s="1"/>
  <c r="C75" i="6"/>
  <c r="G30" i="6" l="1"/>
  <c r="F30" i="6"/>
  <c r="H30" i="6" s="1"/>
  <c r="I30" i="6" s="1"/>
  <c r="E31" i="6" s="1"/>
  <c r="D76" i="6"/>
  <c r="F76" i="6" s="1"/>
  <c r="C76" i="6"/>
  <c r="B77" i="6"/>
  <c r="G31" i="6" l="1"/>
  <c r="F31" i="6"/>
  <c r="H31" i="6" s="1"/>
  <c r="I31" i="6" s="1"/>
  <c r="E32" i="6" s="1"/>
  <c r="B78" i="6"/>
  <c r="D77" i="6"/>
  <c r="F77" i="6" s="1"/>
  <c r="C77" i="6"/>
  <c r="F32" i="6" l="1"/>
  <c r="G32" i="6"/>
  <c r="C78" i="6"/>
  <c r="B79" i="6"/>
  <c r="D78" i="6"/>
  <c r="F78" i="6" s="1"/>
  <c r="H32" i="6" l="1"/>
  <c r="I32" i="6" s="1"/>
  <c r="E33" i="6" s="1"/>
  <c r="D79" i="6"/>
  <c r="F79" i="6" s="1"/>
  <c r="C79" i="6"/>
  <c r="B80" i="6"/>
  <c r="G33" i="6" l="1"/>
  <c r="F33" i="6"/>
  <c r="H33" i="6" s="1"/>
  <c r="I33" i="6" s="1"/>
  <c r="E34" i="6" s="1"/>
  <c r="B81" i="6"/>
  <c r="D80" i="6"/>
  <c r="F80" i="6" s="1"/>
  <c r="C80" i="6"/>
  <c r="G34" i="6" l="1"/>
  <c r="F34" i="6"/>
  <c r="H34" i="6" s="1"/>
  <c r="I34" i="6" s="1"/>
  <c r="E35" i="6" s="1"/>
  <c r="D81" i="6"/>
  <c r="F81" i="6" s="1"/>
  <c r="C81" i="6"/>
  <c r="B82" i="6"/>
  <c r="G35" i="6" l="1"/>
  <c r="F35" i="6"/>
  <c r="H35" i="6" s="1"/>
  <c r="I35" i="6" s="1"/>
  <c r="E36" i="6" s="1"/>
  <c r="B83" i="6"/>
  <c r="D82" i="6"/>
  <c r="F82" i="6" s="1"/>
  <c r="C82" i="6"/>
  <c r="G36" i="6" l="1"/>
  <c r="F36" i="6"/>
  <c r="H36" i="6" s="1"/>
  <c r="I36" i="6" s="1"/>
  <c r="E37" i="6" s="1"/>
  <c r="G37" i="6" s="1"/>
  <c r="H37" i="6" s="1"/>
  <c r="I37" i="6" s="1"/>
  <c r="E38" i="6" s="1"/>
  <c r="G38" i="6" s="1"/>
  <c r="H38" i="6" s="1"/>
  <c r="I38" i="6" s="1"/>
  <c r="E39" i="6" s="1"/>
  <c r="G39" i="6" s="1"/>
  <c r="H39" i="6" s="1"/>
  <c r="I39" i="6" s="1"/>
  <c r="E40" i="6" s="1"/>
  <c r="G40" i="6" s="1"/>
  <c r="H40" i="6" s="1"/>
  <c r="I40" i="6" s="1"/>
  <c r="E41" i="6" s="1"/>
  <c r="G41" i="6" s="1"/>
  <c r="H41" i="6" s="1"/>
  <c r="I41" i="6" s="1"/>
  <c r="E42" i="6" s="1"/>
  <c r="G42" i="6" s="1"/>
  <c r="H42" i="6" s="1"/>
  <c r="I42" i="6" s="1"/>
  <c r="E43" i="6" s="1"/>
  <c r="G43" i="6" s="1"/>
  <c r="H43" i="6" s="1"/>
  <c r="I43" i="6" s="1"/>
  <c r="E44" i="6" s="1"/>
  <c r="G44" i="6" s="1"/>
  <c r="H44" i="6" s="1"/>
  <c r="I44" i="6" s="1"/>
  <c r="E45" i="6" s="1"/>
  <c r="G45" i="6" s="1"/>
  <c r="H45" i="6" s="1"/>
  <c r="I45" i="6" s="1"/>
  <c r="E46" i="6" s="1"/>
  <c r="G46" i="6" s="1"/>
  <c r="H46" i="6" s="1"/>
  <c r="I46" i="6" s="1"/>
  <c r="E47" i="6" s="1"/>
  <c r="B84" i="6"/>
  <c r="D83" i="6"/>
  <c r="F83" i="6" s="1"/>
  <c r="C83" i="6"/>
  <c r="G47" i="6" l="1"/>
  <c r="H47" i="6" s="1"/>
  <c r="I47" i="6" s="1"/>
  <c r="E48" i="6" s="1"/>
  <c r="D84" i="6"/>
  <c r="F84" i="6" s="1"/>
  <c r="C84" i="6"/>
  <c r="B85" i="6"/>
  <c r="G48" i="6" l="1"/>
  <c r="H48" i="6" s="1"/>
  <c r="I48" i="6" s="1"/>
  <c r="E49" i="6" s="1"/>
  <c r="B86" i="6"/>
  <c r="D85" i="6"/>
  <c r="F85" i="6" s="1"/>
  <c r="C85" i="6"/>
  <c r="G49" i="6" l="1"/>
  <c r="H49" i="6" s="1"/>
  <c r="I49" i="6" s="1"/>
  <c r="E50" i="6" s="1"/>
  <c r="D86" i="6"/>
  <c r="F86" i="6" s="1"/>
  <c r="C86" i="6"/>
  <c r="B87" i="6"/>
  <c r="G50" i="6" l="1"/>
  <c r="H50" i="6" s="1"/>
  <c r="I50" i="6" s="1"/>
  <c r="E51" i="6" s="1"/>
  <c r="B88" i="6"/>
  <c r="D87" i="6"/>
  <c r="F87" i="6" s="1"/>
  <c r="C87" i="6"/>
  <c r="G51" i="6" l="1"/>
  <c r="H51" i="6" s="1"/>
  <c r="I51" i="6" s="1"/>
  <c r="E52" i="6" s="1"/>
  <c r="D88" i="6"/>
  <c r="F88" i="6" s="1"/>
  <c r="C88" i="6"/>
  <c r="B89" i="6"/>
  <c r="G52" i="6" l="1"/>
  <c r="H52" i="6" s="1"/>
  <c r="I52" i="6" s="1"/>
  <c r="E53" i="6" s="1"/>
  <c r="B90" i="6"/>
  <c r="C89" i="6"/>
  <c r="D89" i="6"/>
  <c r="F89" i="6" s="1"/>
  <c r="G53" i="6" l="1"/>
  <c r="H53" i="6" s="1"/>
  <c r="I53" i="6" s="1"/>
  <c r="E54" i="6" s="1"/>
  <c r="D90" i="6"/>
  <c r="F90" i="6" s="1"/>
  <c r="C90" i="6"/>
  <c r="B91" i="6"/>
  <c r="G54" i="6" l="1"/>
  <c r="H54" i="6" s="1"/>
  <c r="I54" i="6" s="1"/>
  <c r="E55" i="6" s="1"/>
  <c r="B92" i="6"/>
  <c r="D91" i="6"/>
  <c r="F91" i="6" s="1"/>
  <c r="C91" i="6"/>
  <c r="G55" i="6" l="1"/>
  <c r="H55" i="6" s="1"/>
  <c r="I55" i="6" s="1"/>
  <c r="E56" i="6" s="1"/>
  <c r="D92" i="6"/>
  <c r="F92" i="6" s="1"/>
  <c r="C92" i="6"/>
  <c r="B93" i="6"/>
  <c r="G56" i="6" l="1"/>
  <c r="H56" i="6" s="1"/>
  <c r="I56" i="6" s="1"/>
  <c r="E57" i="6" s="1"/>
  <c r="B94" i="6"/>
  <c r="C93" i="6"/>
  <c r="D93" i="6"/>
  <c r="F93" i="6" s="1"/>
  <c r="G57" i="6" l="1"/>
  <c r="H57" i="6" s="1"/>
  <c r="I57" i="6" s="1"/>
  <c r="E58" i="6" s="1"/>
  <c r="D94" i="6"/>
  <c r="F94" i="6" s="1"/>
  <c r="C94" i="6"/>
  <c r="B95" i="6"/>
  <c r="G58" i="6" l="1"/>
  <c r="H58" i="6" s="1"/>
  <c r="I58" i="6" s="1"/>
  <c r="E59" i="6" s="1"/>
  <c r="B96" i="6"/>
  <c r="D95" i="6"/>
  <c r="F95" i="6" s="1"/>
  <c r="C95" i="6"/>
  <c r="G59" i="6" l="1"/>
  <c r="H59" i="6" s="1"/>
  <c r="I59" i="6" s="1"/>
  <c r="E60" i="6" s="1"/>
  <c r="D96" i="6"/>
  <c r="F96" i="6" s="1"/>
  <c r="C96" i="6"/>
  <c r="B97" i="6"/>
  <c r="G60" i="6" l="1"/>
  <c r="H60" i="6" s="1"/>
  <c r="I60" i="6" s="1"/>
  <c r="E61" i="6" s="1"/>
  <c r="B98" i="6"/>
  <c r="D97" i="6"/>
  <c r="F97" i="6" s="1"/>
  <c r="C97" i="6"/>
  <c r="G61" i="6" l="1"/>
  <c r="H61" i="6" s="1"/>
  <c r="I61" i="6" s="1"/>
  <c r="E62" i="6" s="1"/>
  <c r="D98" i="6"/>
  <c r="F98" i="6" s="1"/>
  <c r="C98" i="6"/>
  <c r="B99" i="6"/>
  <c r="G62" i="6" l="1"/>
  <c r="H62" i="6" s="1"/>
  <c r="I62" i="6" s="1"/>
  <c r="E63" i="6" s="1"/>
  <c r="B100" i="6"/>
  <c r="D99" i="6"/>
  <c r="F99" i="6" s="1"/>
  <c r="C99" i="6"/>
  <c r="G63" i="6" l="1"/>
  <c r="H63" i="6" s="1"/>
  <c r="I63" i="6" s="1"/>
  <c r="E64" i="6" s="1"/>
  <c r="D100" i="6"/>
  <c r="F100" i="6" s="1"/>
  <c r="C100" i="6"/>
  <c r="B101" i="6"/>
  <c r="G64" i="6" l="1"/>
  <c r="H64" i="6" s="1"/>
  <c r="I64" i="6" s="1"/>
  <c r="E65" i="6" s="1"/>
  <c r="B102" i="6"/>
  <c r="D101" i="6"/>
  <c r="F101" i="6" s="1"/>
  <c r="C101" i="6"/>
  <c r="G65" i="6" l="1"/>
  <c r="H65" i="6" s="1"/>
  <c r="I65" i="6" s="1"/>
  <c r="E66" i="6" s="1"/>
  <c r="D102" i="6"/>
  <c r="F102" i="6" s="1"/>
  <c r="C102" i="6"/>
  <c r="B103" i="6"/>
  <c r="G66" i="6" l="1"/>
  <c r="H66" i="6" s="1"/>
  <c r="I66" i="6" s="1"/>
  <c r="E67" i="6" s="1"/>
  <c r="B104" i="6"/>
  <c r="D103" i="6"/>
  <c r="F103" i="6" s="1"/>
  <c r="C103" i="6"/>
  <c r="G67" i="6" l="1"/>
  <c r="H67" i="6" s="1"/>
  <c r="I67" i="6" s="1"/>
  <c r="E68" i="6" s="1"/>
  <c r="D104" i="6"/>
  <c r="F104" i="6" s="1"/>
  <c r="C104" i="6"/>
  <c r="B105" i="6"/>
  <c r="G68" i="6" l="1"/>
  <c r="H68" i="6" s="1"/>
  <c r="I68" i="6" s="1"/>
  <c r="E69" i="6" s="1"/>
  <c r="B106" i="6"/>
  <c r="C105" i="6"/>
  <c r="D105" i="6"/>
  <c r="F105" i="6" s="1"/>
  <c r="G69" i="6" l="1"/>
  <c r="H69" i="6" s="1"/>
  <c r="I69" i="6" s="1"/>
  <c r="E70" i="6" s="1"/>
  <c r="D106" i="6"/>
  <c r="F106" i="6" s="1"/>
  <c r="C106" i="6"/>
  <c r="B107" i="6"/>
  <c r="G70" i="6" l="1"/>
  <c r="H70" i="6" s="1"/>
  <c r="I70" i="6" s="1"/>
  <c r="E71" i="6" s="1"/>
  <c r="B108" i="6"/>
  <c r="D107" i="6"/>
  <c r="F107" i="6" s="1"/>
  <c r="C107" i="6"/>
  <c r="G71" i="6" l="1"/>
  <c r="H71" i="6" s="1"/>
  <c r="I71" i="6" s="1"/>
  <c r="E72" i="6" s="1"/>
  <c r="D108" i="6"/>
  <c r="F108" i="6" s="1"/>
  <c r="C108" i="6"/>
  <c r="B109" i="6"/>
  <c r="G72" i="6" l="1"/>
  <c r="H72" i="6" s="1"/>
  <c r="I72" i="6" s="1"/>
  <c r="E73" i="6" s="1"/>
  <c r="B110" i="6"/>
  <c r="D109" i="6"/>
  <c r="F109" i="6" s="1"/>
  <c r="C109" i="6"/>
  <c r="G73" i="6" l="1"/>
  <c r="H73" i="6" s="1"/>
  <c r="I73" i="6" s="1"/>
  <c r="E74" i="6" s="1"/>
  <c r="D110" i="6"/>
  <c r="F110" i="6" s="1"/>
  <c r="C110" i="6"/>
  <c r="B111" i="6"/>
  <c r="G74" i="6" l="1"/>
  <c r="H74" i="6" s="1"/>
  <c r="I74" i="6" s="1"/>
  <c r="E75" i="6" s="1"/>
  <c r="B112" i="6"/>
  <c r="D111" i="6"/>
  <c r="F111" i="6" s="1"/>
  <c r="C111" i="6"/>
  <c r="G75" i="6" l="1"/>
  <c r="H75" i="6" s="1"/>
  <c r="I75" i="6" s="1"/>
  <c r="E76" i="6" s="1"/>
  <c r="D112" i="6"/>
  <c r="F112" i="6" s="1"/>
  <c r="C112" i="6"/>
  <c r="B113" i="6"/>
  <c r="G76" i="6" l="1"/>
  <c r="H76" i="6" s="1"/>
  <c r="I76" i="6" s="1"/>
  <c r="E77" i="6" s="1"/>
  <c r="B114" i="6"/>
  <c r="D113" i="6"/>
  <c r="F113" i="6" s="1"/>
  <c r="C113" i="6"/>
  <c r="G77" i="6" l="1"/>
  <c r="H77" i="6" s="1"/>
  <c r="I77" i="6" s="1"/>
  <c r="E78" i="6" s="1"/>
  <c r="D114" i="6"/>
  <c r="F114" i="6" s="1"/>
  <c r="C114" i="6"/>
  <c r="B115" i="6"/>
  <c r="G78" i="6" l="1"/>
  <c r="H78" i="6" s="1"/>
  <c r="I78" i="6" s="1"/>
  <c r="E79" i="6" s="1"/>
  <c r="B116" i="6"/>
  <c r="D115" i="6"/>
  <c r="F115" i="6" s="1"/>
  <c r="C115" i="6"/>
  <c r="G79" i="6" l="1"/>
  <c r="H79" i="6" s="1"/>
  <c r="I79" i="6" s="1"/>
  <c r="E80" i="6" s="1"/>
  <c r="D116" i="6"/>
  <c r="F116" i="6" s="1"/>
  <c r="C116" i="6"/>
  <c r="B117" i="6"/>
  <c r="G80" i="6" l="1"/>
  <c r="H80" i="6" s="1"/>
  <c r="I80" i="6" s="1"/>
  <c r="E81" i="6" s="1"/>
  <c r="B118" i="6"/>
  <c r="C117" i="6"/>
  <c r="D117" i="6"/>
  <c r="F117" i="6" s="1"/>
  <c r="G81" i="6" l="1"/>
  <c r="H81" i="6" s="1"/>
  <c r="I81" i="6" s="1"/>
  <c r="E82" i="6" s="1"/>
  <c r="D118" i="6"/>
  <c r="F118" i="6" s="1"/>
  <c r="C118" i="6"/>
  <c r="B119" i="6"/>
  <c r="G82" i="6" l="1"/>
  <c r="H82" i="6" s="1"/>
  <c r="I82" i="6" s="1"/>
  <c r="E83" i="6" s="1"/>
  <c r="B120" i="6"/>
  <c r="D119" i="6"/>
  <c r="F119" i="6" s="1"/>
  <c r="C119" i="6"/>
  <c r="G83" i="6" l="1"/>
  <c r="H83" i="6" s="1"/>
  <c r="I83" i="6" s="1"/>
  <c r="E84" i="6" s="1"/>
  <c r="D120" i="6"/>
  <c r="F120" i="6" s="1"/>
  <c r="C120" i="6"/>
  <c r="B121" i="6"/>
  <c r="G84" i="6" l="1"/>
  <c r="H84" i="6" s="1"/>
  <c r="I84" i="6" s="1"/>
  <c r="E85" i="6" s="1"/>
  <c r="B122" i="6"/>
  <c r="C121" i="6"/>
  <c r="D121" i="6"/>
  <c r="F121" i="6" s="1"/>
  <c r="G85" i="6" l="1"/>
  <c r="H85" i="6" s="1"/>
  <c r="I85" i="6" s="1"/>
  <c r="E86" i="6" s="1"/>
  <c r="D122" i="6"/>
  <c r="F122" i="6" s="1"/>
  <c r="C122" i="6"/>
  <c r="B123" i="6"/>
  <c r="G86" i="6" l="1"/>
  <c r="H86" i="6" s="1"/>
  <c r="I86" i="6" s="1"/>
  <c r="E87" i="6" s="1"/>
  <c r="B124" i="6"/>
  <c r="D123" i="6"/>
  <c r="F123" i="6" s="1"/>
  <c r="C123" i="6"/>
  <c r="G87" i="6" l="1"/>
  <c r="H87" i="6" s="1"/>
  <c r="I87" i="6" s="1"/>
  <c r="E88" i="6" s="1"/>
  <c r="D124" i="6"/>
  <c r="F124" i="6" s="1"/>
  <c r="C124" i="6"/>
  <c r="B125" i="6"/>
  <c r="G88" i="6" l="1"/>
  <c r="H88" i="6" s="1"/>
  <c r="I88" i="6" s="1"/>
  <c r="E89" i="6" s="1"/>
  <c r="B126" i="6"/>
  <c r="D125" i="6"/>
  <c r="F125" i="6" s="1"/>
  <c r="C125" i="6"/>
  <c r="G89" i="6" l="1"/>
  <c r="H89" i="6" s="1"/>
  <c r="I89" i="6" s="1"/>
  <c r="E90" i="6" s="1"/>
  <c r="D126" i="6"/>
  <c r="F126" i="6" s="1"/>
  <c r="C126" i="6"/>
  <c r="B127" i="6"/>
  <c r="G90" i="6" l="1"/>
  <c r="H90" i="6" s="1"/>
  <c r="I90" i="6" s="1"/>
  <c r="E91" i="6" s="1"/>
  <c r="B128" i="6"/>
  <c r="D127" i="6"/>
  <c r="F127" i="6" s="1"/>
  <c r="C127" i="6"/>
  <c r="G91" i="6" l="1"/>
  <c r="H91" i="6" s="1"/>
  <c r="I91" i="6" s="1"/>
  <c r="E92" i="6" s="1"/>
  <c r="D128" i="6"/>
  <c r="F128" i="6" s="1"/>
  <c r="C128" i="6"/>
  <c r="B129" i="6"/>
  <c r="G92" i="6" l="1"/>
  <c r="H92" i="6" s="1"/>
  <c r="I92" i="6" s="1"/>
  <c r="E93" i="6" s="1"/>
  <c r="B130" i="6"/>
  <c r="D129" i="6"/>
  <c r="F129" i="6" s="1"/>
  <c r="C129" i="6"/>
  <c r="G93" i="6" l="1"/>
  <c r="H93" i="6" s="1"/>
  <c r="I93" i="6" s="1"/>
  <c r="E94" i="6" s="1"/>
  <c r="D130" i="6"/>
  <c r="F130" i="6" s="1"/>
  <c r="C130" i="6"/>
  <c r="B131" i="6"/>
  <c r="G94" i="6" l="1"/>
  <c r="H94" i="6" s="1"/>
  <c r="I94" i="6" s="1"/>
  <c r="E95" i="6" s="1"/>
  <c r="B132" i="6"/>
  <c r="D131" i="6"/>
  <c r="F131" i="6" s="1"/>
  <c r="C131" i="6"/>
  <c r="G95" i="6" l="1"/>
  <c r="H95" i="6" s="1"/>
  <c r="I95" i="6" s="1"/>
  <c r="E96" i="6" s="1"/>
  <c r="D132" i="6"/>
  <c r="F132" i="6" s="1"/>
  <c r="C132" i="6"/>
  <c r="G96" i="6" l="1"/>
  <c r="H96" i="6" s="1"/>
  <c r="I96" i="6" s="1"/>
  <c r="E97" i="6" s="1"/>
  <c r="G97" i="6" l="1"/>
  <c r="H97" i="6" s="1"/>
  <c r="I97" i="6" s="1"/>
  <c r="E98" i="6" s="1"/>
  <c r="G98" i="6" l="1"/>
  <c r="H98" i="6" s="1"/>
  <c r="I98" i="6" s="1"/>
  <c r="E99" i="6" s="1"/>
  <c r="G99" i="6" l="1"/>
  <c r="H99" i="6" s="1"/>
  <c r="I99" i="6" s="1"/>
  <c r="E100" i="6" s="1"/>
  <c r="G100" i="6" l="1"/>
  <c r="H100" i="6" s="1"/>
  <c r="I100" i="6" s="1"/>
  <c r="E101" i="6" s="1"/>
  <c r="G101" i="6" l="1"/>
  <c r="H101" i="6" s="1"/>
  <c r="I101" i="6" s="1"/>
  <c r="E102" i="6" s="1"/>
  <c r="G102" i="6" l="1"/>
  <c r="H102" i="6" s="1"/>
  <c r="I102" i="6" s="1"/>
  <c r="E103" i="6" s="1"/>
  <c r="G103" i="6" l="1"/>
  <c r="H103" i="6" s="1"/>
  <c r="I103" i="6" s="1"/>
  <c r="E104" i="6" s="1"/>
  <c r="G104" i="6" l="1"/>
  <c r="H104" i="6" s="1"/>
  <c r="I104" i="6" s="1"/>
  <c r="E105" i="6" s="1"/>
  <c r="G105" i="6" l="1"/>
  <c r="H105" i="6" s="1"/>
  <c r="I105" i="6" s="1"/>
  <c r="E106" i="6" s="1"/>
  <c r="G106" i="6" l="1"/>
  <c r="H106" i="6" s="1"/>
  <c r="I106" i="6" s="1"/>
  <c r="E107" i="6" s="1"/>
  <c r="G107" i="6" l="1"/>
  <c r="H107" i="6" s="1"/>
  <c r="I107" i="6" s="1"/>
  <c r="E108" i="6" s="1"/>
  <c r="G108" i="6" l="1"/>
  <c r="H108" i="6" s="1"/>
  <c r="I108" i="6" s="1"/>
  <c r="E109" i="6" s="1"/>
  <c r="G109" i="6" l="1"/>
  <c r="H109" i="6" s="1"/>
  <c r="I109" i="6" s="1"/>
  <c r="E110" i="6" s="1"/>
  <c r="G110" i="6" l="1"/>
  <c r="H110" i="6" s="1"/>
  <c r="I110" i="6" s="1"/>
  <c r="E111" i="6" s="1"/>
  <c r="G111" i="6" l="1"/>
  <c r="H111" i="6" s="1"/>
  <c r="I111" i="6" s="1"/>
  <c r="E112" i="6" s="1"/>
  <c r="G112" i="6" l="1"/>
  <c r="H112" i="6" s="1"/>
  <c r="I112" i="6" s="1"/>
  <c r="E113" i="6" s="1"/>
  <c r="G113" i="6" l="1"/>
  <c r="H113" i="6" s="1"/>
  <c r="I113" i="6" s="1"/>
  <c r="E114" i="6" s="1"/>
  <c r="G114" i="6" l="1"/>
  <c r="H114" i="6" s="1"/>
  <c r="I114" i="6" s="1"/>
  <c r="E115" i="6" s="1"/>
  <c r="G115" i="6" l="1"/>
  <c r="H115" i="6" s="1"/>
  <c r="I115" i="6" s="1"/>
  <c r="E116" i="6" s="1"/>
  <c r="G116" i="6" l="1"/>
  <c r="H116" i="6" s="1"/>
  <c r="I116" i="6" s="1"/>
  <c r="E117" i="6" s="1"/>
  <c r="G117" i="6" l="1"/>
  <c r="H117" i="6" s="1"/>
  <c r="I117" i="6" s="1"/>
  <c r="E118" i="6" s="1"/>
  <c r="G118" i="6" l="1"/>
  <c r="H118" i="6" s="1"/>
  <c r="I118" i="6" s="1"/>
  <c r="E119" i="6" s="1"/>
  <c r="G119" i="6" l="1"/>
  <c r="H119" i="6" s="1"/>
  <c r="I119" i="6" s="1"/>
  <c r="E120" i="6" s="1"/>
  <c r="G120" i="6" l="1"/>
  <c r="H120" i="6" s="1"/>
  <c r="I120" i="6" s="1"/>
  <c r="E121" i="6" s="1"/>
  <c r="G121" i="6" l="1"/>
  <c r="H121" i="6" s="1"/>
  <c r="I121" i="6" s="1"/>
  <c r="E122" i="6" s="1"/>
  <c r="G122" i="6" l="1"/>
  <c r="H122" i="6" s="1"/>
  <c r="I122" i="6" s="1"/>
  <c r="E123" i="6" s="1"/>
  <c r="G123" i="6" l="1"/>
  <c r="H123" i="6" s="1"/>
  <c r="I123" i="6" s="1"/>
  <c r="E124" i="6" s="1"/>
  <c r="G124" i="6" l="1"/>
  <c r="H124" i="6" s="1"/>
  <c r="I124" i="6" s="1"/>
  <c r="E125" i="6" s="1"/>
  <c r="G125" i="6" l="1"/>
  <c r="H125" i="6" s="1"/>
  <c r="I125" i="6" s="1"/>
  <c r="E126" i="6" s="1"/>
  <c r="G126" i="6" l="1"/>
  <c r="H126" i="6" s="1"/>
  <c r="I126" i="6" s="1"/>
  <c r="E127" i="6" s="1"/>
  <c r="G127" i="6" l="1"/>
  <c r="H127" i="6" s="1"/>
  <c r="I127" i="6" s="1"/>
  <c r="E128" i="6" s="1"/>
  <c r="G128" i="6" l="1"/>
  <c r="H128" i="6" s="1"/>
  <c r="I128" i="6" s="1"/>
  <c r="E129" i="6" s="1"/>
  <c r="G129" i="6" l="1"/>
  <c r="H129" i="6" s="1"/>
  <c r="I129" i="6" s="1"/>
  <c r="E130" i="6" s="1"/>
  <c r="G130" i="6" l="1"/>
  <c r="H130" i="6" s="1"/>
  <c r="I130" i="6" s="1"/>
  <c r="E131" i="6" s="1"/>
  <c r="G131" i="6" l="1"/>
  <c r="H131" i="6" s="1"/>
  <c r="I131" i="6" s="1"/>
  <c r="E132" i="6" s="1"/>
  <c r="G132" i="6" l="1"/>
  <c r="H132" i="6" s="1"/>
  <c r="I132" i="6" s="1"/>
  <c r="G14" i="10"/>
  <c r="H14" i="10"/>
  <c r="H21" i="10" s="1"/>
  <c r="D21" i="10"/>
  <c r="C23" i="10" s="1"/>
  <c r="E21" i="10"/>
  <c r="G21" i="10" l="1"/>
  <c r="C30" i="10"/>
  <c r="I14" i="10"/>
  <c r="I21" i="10" s="1"/>
  <c r="C24" i="10" s="1"/>
  <c r="C6" i="4" s="1"/>
  <c r="D6" i="4" s="1"/>
  <c r="E6" i="4" s="1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C50" i="5"/>
  <c r="F21" i="10"/>
  <c r="C35" i="10" l="1"/>
  <c r="D30" i="10" s="1"/>
  <c r="D9" i="4"/>
  <c r="D10" i="4" s="1"/>
  <c r="D11" i="4" s="1"/>
  <c r="C84" i="10"/>
  <c r="C9" i="5" s="1"/>
  <c r="F6" i="4"/>
  <c r="E9" i="4"/>
  <c r="C85" i="10"/>
  <c r="C86" i="10" s="1"/>
  <c r="E30" i="10" l="1"/>
  <c r="F35" i="10"/>
  <c r="D31" i="10"/>
  <c r="E31" i="10" s="1"/>
  <c r="D32" i="10"/>
  <c r="E32" i="10" s="1"/>
  <c r="D33" i="10"/>
  <c r="E33" i="10" s="1"/>
  <c r="D34" i="10"/>
  <c r="E34" i="10" s="1"/>
  <c r="Q114" i="5"/>
  <c r="Q118" i="5"/>
  <c r="Q115" i="5"/>
  <c r="Q104" i="5"/>
  <c r="Q138" i="5"/>
  <c r="Q122" i="5"/>
  <c r="Q132" i="5"/>
  <c r="Q92" i="5"/>
  <c r="Q103" i="5"/>
  <c r="Q102" i="5"/>
  <c r="Q134" i="5"/>
  <c r="Q137" i="5"/>
  <c r="Q119" i="5"/>
  <c r="Q109" i="5"/>
  <c r="Q110" i="5"/>
  <c r="Q116" i="5"/>
  <c r="Q97" i="5"/>
  <c r="Q112" i="5"/>
  <c r="Q95" i="5"/>
  <c r="Q139" i="5"/>
  <c r="Q107" i="5"/>
  <c r="Q96" i="5"/>
  <c r="Q125" i="5"/>
  <c r="Q136" i="5"/>
  <c r="C25" i="5"/>
  <c r="Q105" i="5"/>
  <c r="Q99" i="5"/>
  <c r="Q124" i="5"/>
  <c r="Q120" i="5"/>
  <c r="Q121" i="5"/>
  <c r="Q93" i="5"/>
  <c r="Q101" i="5"/>
  <c r="Q108" i="5"/>
  <c r="Q91" i="5"/>
  <c r="Q129" i="5"/>
  <c r="Q130" i="5"/>
  <c r="Q128" i="5"/>
  <c r="Q135" i="5"/>
  <c r="Q126" i="5"/>
  <c r="Q111" i="5"/>
  <c r="Q113" i="5"/>
  <c r="Q94" i="5"/>
  <c r="Q123" i="5"/>
  <c r="Q106" i="5"/>
  <c r="Q100" i="5"/>
  <c r="Q98" i="5"/>
  <c r="Q131" i="5"/>
  <c r="Q117" i="5"/>
  <c r="Q127" i="5"/>
  <c r="C30" i="5"/>
  <c r="Q133" i="5"/>
  <c r="G6" i="4"/>
  <c r="F9" i="4"/>
  <c r="D14" i="4"/>
  <c r="E10" i="4"/>
  <c r="E11" i="4" s="1"/>
  <c r="G32" i="10" l="1"/>
  <c r="F32" i="10"/>
  <c r="G31" i="10"/>
  <c r="F31" i="10"/>
  <c r="F30" i="10"/>
  <c r="G30" i="10"/>
  <c r="E35" i="10"/>
  <c r="D27" i="10" s="1"/>
  <c r="G34" i="10"/>
  <c r="F34" i="10"/>
  <c r="G33" i="10"/>
  <c r="F33" i="10"/>
  <c r="D35" i="10"/>
  <c r="E14" i="4"/>
  <c r="D19" i="4"/>
  <c r="F10" i="4"/>
  <c r="F11" i="4" s="1"/>
  <c r="H6" i="4"/>
  <c r="G9" i="4"/>
  <c r="C38" i="5"/>
  <c r="C67" i="5"/>
  <c r="C69" i="5" l="1"/>
  <c r="D35" i="4"/>
  <c r="D21" i="4"/>
  <c r="G10" i="4"/>
  <c r="G11" i="4" s="1"/>
  <c r="F14" i="4"/>
  <c r="E19" i="4"/>
  <c r="H9" i="4"/>
  <c r="I6" i="4"/>
  <c r="J6" i="4" l="1"/>
  <c r="I9" i="4"/>
  <c r="H10" i="4"/>
  <c r="H11" i="4" s="1"/>
  <c r="F19" i="4"/>
  <c r="G14" i="4"/>
  <c r="D34" i="4"/>
  <c r="C51" i="5"/>
  <c r="C60" i="5" s="1"/>
  <c r="D32" i="4"/>
  <c r="D28" i="4"/>
  <c r="E35" i="4"/>
  <c r="E21" i="4"/>
  <c r="C55" i="18" l="1"/>
  <c r="I19" i="18"/>
  <c r="C17" i="18"/>
  <c r="C12" i="18"/>
  <c r="I18" i="18"/>
  <c r="I17" i="18"/>
  <c r="I16" i="18"/>
  <c r="C11" i="18"/>
  <c r="I20" i="18"/>
  <c r="I15" i="18"/>
  <c r="I14" i="18"/>
  <c r="I13" i="18"/>
  <c r="I12" i="18"/>
  <c r="C10" i="18"/>
  <c r="I11" i="18"/>
  <c r="I10" i="18"/>
  <c r="F4" i="18"/>
  <c r="C20" i="18"/>
  <c r="C19" i="18"/>
  <c r="C18" i="18"/>
  <c r="C16" i="18"/>
  <c r="C15" i="18"/>
  <c r="C14" i="18"/>
  <c r="C13" i="18"/>
  <c r="F35" i="4"/>
  <c r="F21" i="4"/>
  <c r="E32" i="4"/>
  <c r="D62" i="5" s="1"/>
  <c r="D51" i="5"/>
  <c r="D60" i="5" s="1"/>
  <c r="D50" i="5"/>
  <c r="E28" i="4"/>
  <c r="E34" i="4"/>
  <c r="D29" i="4"/>
  <c r="D33" i="4"/>
  <c r="C31" i="5"/>
  <c r="C58" i="5" s="1"/>
  <c r="I10" i="4"/>
  <c r="I11" i="4" s="1"/>
  <c r="K6" i="4"/>
  <c r="J9" i="4"/>
  <c r="G19" i="4"/>
  <c r="H14" i="4"/>
  <c r="A11" i="18" l="1"/>
  <c r="E11" i="18"/>
  <c r="F11" i="18" s="1"/>
  <c r="A18" i="18"/>
  <c r="E18" i="18"/>
  <c r="P18" i="18" s="1"/>
  <c r="A17" i="18"/>
  <c r="E17" i="18"/>
  <c r="F17" i="18" s="1"/>
  <c r="A19" i="18"/>
  <c r="E19" i="18"/>
  <c r="A20" i="18"/>
  <c r="E20" i="18"/>
  <c r="P20" i="18" s="1"/>
  <c r="A13" i="18"/>
  <c r="E13" i="18"/>
  <c r="A12" i="18"/>
  <c r="E12" i="18"/>
  <c r="P12" i="18" s="1"/>
  <c r="A14" i="18"/>
  <c r="E14" i="18"/>
  <c r="A15" i="18"/>
  <c r="E15" i="18"/>
  <c r="F15" i="18" s="1"/>
  <c r="A16" i="18"/>
  <c r="E16" i="18"/>
  <c r="F16" i="18" s="1"/>
  <c r="A10" i="18"/>
  <c r="E10" i="18"/>
  <c r="F10" i="18" s="1"/>
  <c r="E51" i="5"/>
  <c r="E60" i="5" s="1"/>
  <c r="E61" i="5" s="1"/>
  <c r="F34" i="4"/>
  <c r="E50" i="5"/>
  <c r="F32" i="4"/>
  <c r="E62" i="5" s="1"/>
  <c r="F28" i="4"/>
  <c r="C90" i="5" s="1" a="1"/>
  <c r="C90" i="5" s="1"/>
  <c r="H19" i="4"/>
  <c r="I14" i="4"/>
  <c r="E29" i="4"/>
  <c r="G35" i="4"/>
  <c r="G21" i="4"/>
  <c r="J10" i="4"/>
  <c r="J11" i="4" s="1"/>
  <c r="K9" i="4"/>
  <c r="L6" i="4"/>
  <c r="D30" i="5"/>
  <c r="D31" i="5"/>
  <c r="E33" i="4"/>
  <c r="D86" i="5"/>
  <c r="D61" i="5"/>
  <c r="P16" i="18" l="1"/>
  <c r="P357" i="18" s="1"/>
  <c r="F12" i="18"/>
  <c r="G12" i="18" s="1"/>
  <c r="H12" i="18" s="1"/>
  <c r="P17" i="18"/>
  <c r="P371" i="18" s="1"/>
  <c r="G16" i="18"/>
  <c r="H16" i="18" s="1"/>
  <c r="N16" i="18"/>
  <c r="G17" i="18"/>
  <c r="H17" i="18" s="1"/>
  <c r="N17" i="18"/>
  <c r="O19" i="18"/>
  <c r="P379" i="18"/>
  <c r="P373" i="18"/>
  <c r="P374" i="18"/>
  <c r="P376" i="18"/>
  <c r="P378" i="18"/>
  <c r="P375" i="18"/>
  <c r="P380" i="18"/>
  <c r="P377" i="18"/>
  <c r="P372" i="18"/>
  <c r="Q14" i="18"/>
  <c r="Q15" i="18"/>
  <c r="Q16" i="18"/>
  <c r="Q17" i="18"/>
  <c r="Q18" i="18"/>
  <c r="Q10" i="18"/>
  <c r="Q19" i="18"/>
  <c r="Q11" i="18"/>
  <c r="Q20" i="18"/>
  <c r="Q12" i="18"/>
  <c r="Q13" i="18"/>
  <c r="N15" i="18"/>
  <c r="G15" i="18"/>
  <c r="H15" i="18" s="1"/>
  <c r="F19" i="18"/>
  <c r="O18" i="18"/>
  <c r="O15" i="18"/>
  <c r="J15" i="18"/>
  <c r="O13" i="18"/>
  <c r="F18" i="18"/>
  <c r="J18" i="18" s="1"/>
  <c r="G10" i="18"/>
  <c r="H10" i="18" s="1"/>
  <c r="N10" i="18"/>
  <c r="F13" i="18"/>
  <c r="P326" i="18"/>
  <c r="P318" i="18"/>
  <c r="P320" i="18"/>
  <c r="P324" i="18"/>
  <c r="P325" i="18"/>
  <c r="P323" i="18"/>
  <c r="P321" i="18"/>
  <c r="P319" i="18"/>
  <c r="P322" i="18"/>
  <c r="P15" i="18"/>
  <c r="O10" i="18"/>
  <c r="J10" i="18"/>
  <c r="O14" i="18"/>
  <c r="P394" i="18"/>
  <c r="P395" i="18"/>
  <c r="P396" i="18"/>
  <c r="P397" i="18"/>
  <c r="P398" i="18"/>
  <c r="P390" i="18"/>
  <c r="P392" i="18"/>
  <c r="P393" i="18"/>
  <c r="P391" i="18"/>
  <c r="P14" i="18"/>
  <c r="O11" i="18"/>
  <c r="J11" i="18"/>
  <c r="F14" i="18"/>
  <c r="J14" i="18" s="1"/>
  <c r="O20" i="18"/>
  <c r="P11" i="18"/>
  <c r="P13" i="18"/>
  <c r="O12" i="18"/>
  <c r="P10" i="18"/>
  <c r="N11" i="18"/>
  <c r="G11" i="18"/>
  <c r="H11" i="18" s="1"/>
  <c r="O16" i="18"/>
  <c r="J16" i="18"/>
  <c r="F20" i="18"/>
  <c r="P19" i="18"/>
  <c r="J17" i="18"/>
  <c r="O17" i="18"/>
  <c r="F29" i="4"/>
  <c r="D58" i="5"/>
  <c r="J14" i="4"/>
  <c r="I19" i="4"/>
  <c r="M6" i="4"/>
  <c r="L9" i="4"/>
  <c r="H35" i="4"/>
  <c r="H21" i="4"/>
  <c r="K10" i="4"/>
  <c r="K11" i="4" s="1"/>
  <c r="F33" i="4"/>
  <c r="E31" i="5"/>
  <c r="E58" i="5" s="1"/>
  <c r="E59" i="5" s="1"/>
  <c r="E30" i="5"/>
  <c r="E63" i="5" s="1"/>
  <c r="E86" i="5"/>
  <c r="F50" i="5"/>
  <c r="G32" i="4"/>
  <c r="F62" i="5" s="1"/>
  <c r="F51" i="5"/>
  <c r="F60" i="5" s="1"/>
  <c r="G28" i="4"/>
  <c r="G34" i="4"/>
  <c r="R131" i="5"/>
  <c r="R91" i="5"/>
  <c r="R139" i="5"/>
  <c r="R111" i="5"/>
  <c r="R119" i="5"/>
  <c r="R127" i="5"/>
  <c r="R107" i="5"/>
  <c r="R114" i="5"/>
  <c r="R122" i="5"/>
  <c r="R120" i="5"/>
  <c r="R132" i="5"/>
  <c r="R109" i="5"/>
  <c r="R118" i="5"/>
  <c r="R123" i="5"/>
  <c r="R113" i="5"/>
  <c r="R106" i="5"/>
  <c r="R136" i="5"/>
  <c r="R134" i="5"/>
  <c r="R128" i="5"/>
  <c r="R105" i="5"/>
  <c r="R110" i="5"/>
  <c r="R124" i="5"/>
  <c r="R121" i="5"/>
  <c r="R95" i="5"/>
  <c r="R125" i="5"/>
  <c r="R137" i="5"/>
  <c r="R115" i="5"/>
  <c r="R126" i="5"/>
  <c r="R103" i="5"/>
  <c r="R96" i="5"/>
  <c r="R108" i="5"/>
  <c r="R116" i="5"/>
  <c r="R102" i="5"/>
  <c r="R133" i="5"/>
  <c r="R94" i="5"/>
  <c r="R138" i="5"/>
  <c r="R98" i="5"/>
  <c r="R117" i="5"/>
  <c r="R93" i="5"/>
  <c r="R112" i="5"/>
  <c r="R97" i="5"/>
  <c r="R129" i="5"/>
  <c r="R99" i="5"/>
  <c r="R101" i="5"/>
  <c r="R135" i="5"/>
  <c r="R100" i="5"/>
  <c r="R92" i="5"/>
  <c r="R104" i="5"/>
  <c r="R130" i="5"/>
  <c r="D63" i="5"/>
  <c r="P367" i="18" l="1"/>
  <c r="J12" i="18"/>
  <c r="P370" i="18"/>
  <c r="P368" i="18"/>
  <c r="N12" i="18"/>
  <c r="N319" i="18" s="1"/>
  <c r="P354" i="18"/>
  <c r="P356" i="18"/>
  <c r="P355" i="18"/>
  <c r="P361" i="18"/>
  <c r="P359" i="18"/>
  <c r="P362" i="18"/>
  <c r="P360" i="18"/>
  <c r="P358" i="18"/>
  <c r="P369" i="18"/>
  <c r="P366" i="18"/>
  <c r="P363" i="18"/>
  <c r="P365" i="18"/>
  <c r="P364" i="18"/>
  <c r="Q317" i="18"/>
  <c r="Q315" i="18"/>
  <c r="Q309" i="18"/>
  <c r="Q312" i="18"/>
  <c r="Q313" i="18"/>
  <c r="Q316" i="18"/>
  <c r="Q314" i="18"/>
  <c r="Q310" i="18"/>
  <c r="Q311" i="18"/>
  <c r="P387" i="18"/>
  <c r="P389" i="18"/>
  <c r="P381" i="18"/>
  <c r="P382" i="18"/>
  <c r="P384" i="18"/>
  <c r="P385" i="18"/>
  <c r="P386" i="18"/>
  <c r="P383" i="18"/>
  <c r="P388" i="18"/>
  <c r="Q378" i="18"/>
  <c r="Q380" i="18"/>
  <c r="Q372" i="18"/>
  <c r="Q373" i="18"/>
  <c r="Q375" i="18"/>
  <c r="Q376" i="18"/>
  <c r="Q379" i="18"/>
  <c r="Q377" i="18"/>
  <c r="Q374" i="18"/>
  <c r="N20" i="18"/>
  <c r="G20" i="18"/>
  <c r="H20" i="18" s="1"/>
  <c r="P342" i="18"/>
  <c r="P344" i="18"/>
  <c r="P336" i="18"/>
  <c r="P341" i="18"/>
  <c r="P339" i="18"/>
  <c r="P337" i="18"/>
  <c r="P340" i="18"/>
  <c r="P338" i="18"/>
  <c r="P343" i="18"/>
  <c r="O348" i="18"/>
  <c r="O350" i="18"/>
  <c r="O351" i="18"/>
  <c r="O353" i="18"/>
  <c r="O345" i="18"/>
  <c r="O346" i="18"/>
  <c r="O352" i="18"/>
  <c r="O347" i="18"/>
  <c r="O349" i="18"/>
  <c r="Q370" i="18"/>
  <c r="Q364" i="18"/>
  <c r="Q365" i="18"/>
  <c r="Q367" i="18"/>
  <c r="Q371" i="18"/>
  <c r="Q368" i="18"/>
  <c r="Q363" i="18"/>
  <c r="Q369" i="18"/>
  <c r="Q366" i="18"/>
  <c r="P334" i="18"/>
  <c r="P328" i="18"/>
  <c r="P330" i="18"/>
  <c r="P327" i="18"/>
  <c r="P332" i="18"/>
  <c r="P335" i="18"/>
  <c r="P333" i="18"/>
  <c r="P331" i="18"/>
  <c r="P329" i="18"/>
  <c r="O343" i="18"/>
  <c r="O337" i="18"/>
  <c r="O344" i="18"/>
  <c r="O339" i="18"/>
  <c r="O336" i="18"/>
  <c r="O342" i="18"/>
  <c r="O340" i="18"/>
  <c r="O338" i="18"/>
  <c r="O341" i="18"/>
  <c r="Q362" i="18"/>
  <c r="Q354" i="18"/>
  <c r="Q356" i="18"/>
  <c r="Q357" i="18"/>
  <c r="Q359" i="18"/>
  <c r="Q360" i="18"/>
  <c r="Q358" i="18"/>
  <c r="Q355" i="18"/>
  <c r="Q361" i="18"/>
  <c r="O335" i="18"/>
  <c r="O327" i="18"/>
  <c r="O329" i="18"/>
  <c r="O333" i="18"/>
  <c r="O332" i="18"/>
  <c r="O330" i="18"/>
  <c r="O328" i="18"/>
  <c r="O331" i="18"/>
  <c r="O334" i="18"/>
  <c r="Q325" i="18"/>
  <c r="Q319" i="18"/>
  <c r="Q321" i="18"/>
  <c r="Q318" i="18"/>
  <c r="Q320" i="18"/>
  <c r="Q323" i="18"/>
  <c r="Q326" i="18"/>
  <c r="Q324" i="18"/>
  <c r="Q322" i="18"/>
  <c r="O395" i="18"/>
  <c r="O396" i="18"/>
  <c r="O397" i="18"/>
  <c r="O398" i="18"/>
  <c r="O390" i="18"/>
  <c r="O391" i="18"/>
  <c r="O393" i="18"/>
  <c r="O394" i="18"/>
  <c r="O392" i="18"/>
  <c r="Q393" i="18"/>
  <c r="Q394" i="18"/>
  <c r="Q395" i="18"/>
  <c r="Q396" i="18"/>
  <c r="Q397" i="18"/>
  <c r="Q398" i="18"/>
  <c r="Q391" i="18"/>
  <c r="Q392" i="18"/>
  <c r="Q390" i="18"/>
  <c r="O388" i="18"/>
  <c r="O382" i="18"/>
  <c r="O383" i="18"/>
  <c r="O385" i="18"/>
  <c r="O389" i="18"/>
  <c r="O386" i="18"/>
  <c r="O381" i="18"/>
  <c r="O384" i="18"/>
  <c r="O387" i="18"/>
  <c r="O364" i="18"/>
  <c r="O366" i="18"/>
  <c r="O367" i="18"/>
  <c r="O369" i="18"/>
  <c r="O368" i="18"/>
  <c r="O363" i="18"/>
  <c r="O370" i="18"/>
  <c r="O365" i="18"/>
  <c r="O371" i="18"/>
  <c r="N349" i="18"/>
  <c r="N351" i="18"/>
  <c r="N352" i="18"/>
  <c r="N346" i="18"/>
  <c r="N347" i="18"/>
  <c r="N348" i="18"/>
  <c r="N353" i="18"/>
  <c r="N345" i="18"/>
  <c r="N350" i="18"/>
  <c r="G13" i="18"/>
  <c r="H13" i="18" s="1"/>
  <c r="N13" i="18"/>
  <c r="N304" i="18"/>
  <c r="N305" i="18"/>
  <c r="N301" i="18"/>
  <c r="N306" i="18"/>
  <c r="N302" i="18"/>
  <c r="N307" i="18"/>
  <c r="N303" i="18"/>
  <c r="N308" i="18"/>
  <c r="N300" i="18"/>
  <c r="J13" i="18"/>
  <c r="Q333" i="18"/>
  <c r="Q335" i="18"/>
  <c r="Q327" i="18"/>
  <c r="Q334" i="18"/>
  <c r="Q332" i="18"/>
  <c r="Q330" i="18"/>
  <c r="Q328" i="18"/>
  <c r="Q331" i="18"/>
  <c r="Q329" i="18"/>
  <c r="P310" i="18"/>
  <c r="P313" i="18"/>
  <c r="P316" i="18"/>
  <c r="P309" i="18"/>
  <c r="P314" i="18"/>
  <c r="P311" i="18"/>
  <c r="P317" i="18"/>
  <c r="P315" i="18"/>
  <c r="P312" i="18"/>
  <c r="O380" i="18"/>
  <c r="O372" i="18"/>
  <c r="O374" i="18"/>
  <c r="O375" i="18"/>
  <c r="O377" i="18"/>
  <c r="O378" i="18"/>
  <c r="O376" i="18"/>
  <c r="O373" i="18"/>
  <c r="O379" i="18"/>
  <c r="Q346" i="18"/>
  <c r="Q348" i="18"/>
  <c r="Q349" i="18"/>
  <c r="Q351" i="18"/>
  <c r="Q350" i="18"/>
  <c r="Q345" i="18"/>
  <c r="Q352" i="18"/>
  <c r="Q347" i="18"/>
  <c r="Q353" i="18"/>
  <c r="N365" i="18"/>
  <c r="N367" i="18"/>
  <c r="N368" i="18"/>
  <c r="N370" i="18"/>
  <c r="N371" i="18"/>
  <c r="N364" i="18"/>
  <c r="N369" i="18"/>
  <c r="N366" i="18"/>
  <c r="N363" i="18"/>
  <c r="O311" i="18"/>
  <c r="O313" i="18"/>
  <c r="O316" i="18"/>
  <c r="O309" i="18"/>
  <c r="O314" i="18"/>
  <c r="O310" i="18"/>
  <c r="O317" i="18"/>
  <c r="O315" i="18"/>
  <c r="O312" i="18"/>
  <c r="O303" i="18"/>
  <c r="O300" i="18"/>
  <c r="O305" i="18"/>
  <c r="O301" i="18"/>
  <c r="O306" i="18"/>
  <c r="O302" i="18"/>
  <c r="O307" i="18"/>
  <c r="O308" i="18"/>
  <c r="O304" i="18"/>
  <c r="Q341" i="18"/>
  <c r="Q343" i="18"/>
  <c r="Q339" i="18"/>
  <c r="Q337" i="18"/>
  <c r="Q344" i="18"/>
  <c r="Q342" i="18"/>
  <c r="Q340" i="18"/>
  <c r="Q338" i="18"/>
  <c r="Q336" i="18"/>
  <c r="G18" i="18"/>
  <c r="H18" i="18" s="1"/>
  <c r="N18" i="18"/>
  <c r="R20" i="18"/>
  <c r="R19" i="18"/>
  <c r="R18" i="18"/>
  <c r="R17" i="18"/>
  <c r="R16" i="18"/>
  <c r="R15" i="18"/>
  <c r="R14" i="18"/>
  <c r="R13" i="18"/>
  <c r="R12" i="18"/>
  <c r="R11" i="18"/>
  <c r="R10" i="18"/>
  <c r="O356" i="18"/>
  <c r="O358" i="18"/>
  <c r="O359" i="18"/>
  <c r="O361" i="18"/>
  <c r="O362" i="18"/>
  <c r="O355" i="18"/>
  <c r="O360" i="18"/>
  <c r="O357" i="18"/>
  <c r="O354" i="18"/>
  <c r="N314" i="18"/>
  <c r="N316" i="18"/>
  <c r="N312" i="18"/>
  <c r="N309" i="18"/>
  <c r="N310" i="18"/>
  <c r="N317" i="18"/>
  <c r="N311" i="18"/>
  <c r="N315" i="18"/>
  <c r="N313" i="18"/>
  <c r="O319" i="18"/>
  <c r="O321" i="18"/>
  <c r="O325" i="18"/>
  <c r="O323" i="18"/>
  <c r="O318" i="18"/>
  <c r="O326" i="18"/>
  <c r="O324" i="18"/>
  <c r="O322" i="18"/>
  <c r="O320" i="18"/>
  <c r="J20" i="18"/>
  <c r="N14" i="18"/>
  <c r="G14" i="18"/>
  <c r="H14" i="18" s="1"/>
  <c r="N19" i="18"/>
  <c r="G19" i="18"/>
  <c r="H19" i="18" s="1"/>
  <c r="Q386" i="18"/>
  <c r="Q388" i="18"/>
  <c r="Q389" i="18"/>
  <c r="Q381" i="18"/>
  <c r="Q383" i="18"/>
  <c r="Q384" i="18"/>
  <c r="Q385" i="18"/>
  <c r="Q387" i="18"/>
  <c r="Q382" i="18"/>
  <c r="N357" i="18"/>
  <c r="N359" i="18"/>
  <c r="N360" i="18"/>
  <c r="N362" i="18"/>
  <c r="N354" i="18"/>
  <c r="N355" i="18"/>
  <c r="N361" i="18"/>
  <c r="N356" i="18"/>
  <c r="N358" i="18"/>
  <c r="P302" i="18"/>
  <c r="P308" i="18"/>
  <c r="P304" i="18"/>
  <c r="P300" i="18"/>
  <c r="P305" i="18"/>
  <c r="P301" i="18"/>
  <c r="P306" i="18"/>
  <c r="P307" i="18"/>
  <c r="P303" i="18"/>
  <c r="P347" i="18"/>
  <c r="P349" i="18"/>
  <c r="P350" i="18"/>
  <c r="P352" i="18"/>
  <c r="P353" i="18"/>
  <c r="P346" i="18"/>
  <c r="P351" i="18"/>
  <c r="P348" i="18"/>
  <c r="P345" i="18"/>
  <c r="Q301" i="18"/>
  <c r="Q308" i="18"/>
  <c r="Q304" i="18"/>
  <c r="Q300" i="18"/>
  <c r="Q305" i="18"/>
  <c r="Q306" i="18"/>
  <c r="Q302" i="18"/>
  <c r="Q307" i="18"/>
  <c r="Q303" i="18"/>
  <c r="J19" i="18"/>
  <c r="M9" i="4"/>
  <c r="N6" i="4"/>
  <c r="N9" i="4" s="1"/>
  <c r="I35" i="4"/>
  <c r="I21" i="4"/>
  <c r="C41" i="18" s="1"/>
  <c r="F61" i="5"/>
  <c r="J19" i="4"/>
  <c r="K14" i="4"/>
  <c r="G51" i="5"/>
  <c r="G60" i="5" s="1"/>
  <c r="G61" i="5" s="1"/>
  <c r="H32" i="4"/>
  <c r="G62" i="5" s="1"/>
  <c r="H34" i="4"/>
  <c r="G50" i="5"/>
  <c r="H28" i="4"/>
  <c r="D59" i="5"/>
  <c r="S116" i="5"/>
  <c r="S98" i="5"/>
  <c r="S130" i="5"/>
  <c r="S127" i="5"/>
  <c r="S101" i="5"/>
  <c r="S93" i="5"/>
  <c r="S118" i="5"/>
  <c r="S139" i="5"/>
  <c r="S110" i="5"/>
  <c r="S126" i="5"/>
  <c r="S94" i="5"/>
  <c r="S136" i="5"/>
  <c r="S102" i="5"/>
  <c r="S95" i="5"/>
  <c r="S138" i="5"/>
  <c r="S109" i="5"/>
  <c r="S100" i="5"/>
  <c r="S99" i="5"/>
  <c r="S113" i="5"/>
  <c r="S103" i="5"/>
  <c r="S129" i="5"/>
  <c r="S107" i="5"/>
  <c r="S108" i="5"/>
  <c r="S115" i="5"/>
  <c r="S104" i="5"/>
  <c r="S91" i="5"/>
  <c r="S132" i="5"/>
  <c r="S124" i="5"/>
  <c r="S125" i="5"/>
  <c r="S135" i="5"/>
  <c r="S106" i="5"/>
  <c r="S111" i="5"/>
  <c r="S133" i="5"/>
  <c r="S122" i="5"/>
  <c r="S117" i="5"/>
  <c r="S131" i="5"/>
  <c r="S120" i="5"/>
  <c r="S128" i="5"/>
  <c r="S96" i="5"/>
  <c r="S112" i="5"/>
  <c r="S114" i="5"/>
  <c r="S123" i="5"/>
  <c r="S137" i="5"/>
  <c r="S119" i="5"/>
  <c r="S134" i="5"/>
  <c r="S121" i="5"/>
  <c r="S92" i="5"/>
  <c r="S97" i="5"/>
  <c r="S105" i="5"/>
  <c r="F31" i="5"/>
  <c r="F58" i="5" s="1"/>
  <c r="F59" i="5" s="1"/>
  <c r="F86" i="5"/>
  <c r="G33" i="4"/>
  <c r="F30" i="5"/>
  <c r="G29" i="4"/>
  <c r="L10" i="4"/>
  <c r="L11" i="4" s="1"/>
  <c r="N320" i="18" l="1"/>
  <c r="N318" i="18"/>
  <c r="N321" i="18"/>
  <c r="N325" i="18"/>
  <c r="N324" i="18"/>
  <c r="N326" i="18"/>
  <c r="N323" i="18"/>
  <c r="N322" i="18"/>
  <c r="I42" i="18"/>
  <c r="I45" i="18"/>
  <c r="F43" i="18"/>
  <c r="K11" i="18"/>
  <c r="I48" i="18"/>
  <c r="G50" i="18"/>
  <c r="H49" i="18"/>
  <c r="G44" i="18"/>
  <c r="G41" i="18"/>
  <c r="C44" i="18"/>
  <c r="C42" i="18"/>
  <c r="F50" i="18"/>
  <c r="K10" i="18"/>
  <c r="E44" i="18"/>
  <c r="C47" i="18"/>
  <c r="E48" i="18"/>
  <c r="D49" i="18"/>
  <c r="F48" i="18"/>
  <c r="D50" i="18"/>
  <c r="G45" i="18"/>
  <c r="R308" i="18"/>
  <c r="R300" i="18"/>
  <c r="R307" i="18"/>
  <c r="R303" i="18"/>
  <c r="R304" i="18"/>
  <c r="R305" i="18"/>
  <c r="R301" i="18"/>
  <c r="R306" i="18"/>
  <c r="R302" i="18"/>
  <c r="R377" i="18"/>
  <c r="R379" i="18"/>
  <c r="R380" i="18"/>
  <c r="R372" i="18"/>
  <c r="R374" i="18"/>
  <c r="R376" i="18"/>
  <c r="R373" i="18"/>
  <c r="R378" i="18"/>
  <c r="R375" i="18"/>
  <c r="R316" i="18"/>
  <c r="R315" i="18"/>
  <c r="R312" i="18"/>
  <c r="R313" i="18"/>
  <c r="R309" i="18"/>
  <c r="R314" i="18"/>
  <c r="R310" i="18"/>
  <c r="R317" i="18"/>
  <c r="R311" i="18"/>
  <c r="R385" i="18"/>
  <c r="R387" i="18"/>
  <c r="R388" i="18"/>
  <c r="R382" i="18"/>
  <c r="R383" i="18"/>
  <c r="R384" i="18"/>
  <c r="R389" i="18"/>
  <c r="R381" i="18"/>
  <c r="R386" i="18"/>
  <c r="R324" i="18"/>
  <c r="R326" i="18"/>
  <c r="R318" i="18"/>
  <c r="R322" i="18"/>
  <c r="R320" i="18"/>
  <c r="R325" i="18"/>
  <c r="R323" i="18"/>
  <c r="R321" i="18"/>
  <c r="R319" i="18"/>
  <c r="R392" i="18"/>
  <c r="R393" i="18"/>
  <c r="R394" i="18"/>
  <c r="R395" i="18"/>
  <c r="R396" i="18"/>
  <c r="R397" i="18"/>
  <c r="R398" i="18"/>
  <c r="R390" i="18"/>
  <c r="R391" i="18"/>
  <c r="N396" i="18"/>
  <c r="N397" i="18"/>
  <c r="N398" i="18"/>
  <c r="N391" i="18"/>
  <c r="N392" i="18"/>
  <c r="N394" i="18"/>
  <c r="N395" i="18"/>
  <c r="N390" i="18"/>
  <c r="N393" i="18"/>
  <c r="R332" i="18"/>
  <c r="R334" i="18"/>
  <c r="R329" i="18"/>
  <c r="R327" i="18"/>
  <c r="R330" i="18"/>
  <c r="R335" i="18"/>
  <c r="R328" i="18"/>
  <c r="R333" i="18"/>
  <c r="R331" i="18"/>
  <c r="N373" i="18"/>
  <c r="N375" i="18"/>
  <c r="N376" i="18"/>
  <c r="N378" i="18"/>
  <c r="N380" i="18"/>
  <c r="N377" i="18"/>
  <c r="N372" i="18"/>
  <c r="N379" i="18"/>
  <c r="N374" i="18"/>
  <c r="R340" i="18"/>
  <c r="R342" i="18"/>
  <c r="R341" i="18"/>
  <c r="R338" i="18"/>
  <c r="R343" i="18"/>
  <c r="R339" i="18"/>
  <c r="R337" i="18"/>
  <c r="R344" i="18"/>
  <c r="R336" i="18"/>
  <c r="N388" i="18"/>
  <c r="N389" i="18"/>
  <c r="N381" i="18"/>
  <c r="N383" i="18"/>
  <c r="N384" i="18"/>
  <c r="N386" i="18"/>
  <c r="N387" i="18"/>
  <c r="N385" i="18"/>
  <c r="N382" i="18"/>
  <c r="R353" i="18"/>
  <c r="R345" i="18"/>
  <c r="R347" i="18"/>
  <c r="R348" i="18"/>
  <c r="R350" i="18"/>
  <c r="R351" i="18"/>
  <c r="R352" i="18"/>
  <c r="R349" i="18"/>
  <c r="R346" i="18"/>
  <c r="N328" i="18"/>
  <c r="N330" i="18"/>
  <c r="N335" i="18"/>
  <c r="N333" i="18"/>
  <c r="N331" i="18"/>
  <c r="N329" i="18"/>
  <c r="N334" i="18"/>
  <c r="N332" i="18"/>
  <c r="N327" i="18"/>
  <c r="R361" i="18"/>
  <c r="R355" i="18"/>
  <c r="R356" i="18"/>
  <c r="R358" i="18"/>
  <c r="R360" i="18"/>
  <c r="R357" i="18"/>
  <c r="R362" i="18"/>
  <c r="R359" i="18"/>
  <c r="R354" i="18"/>
  <c r="AD30" i="18"/>
  <c r="S344" i="18" s="1"/>
  <c r="AC33" i="18"/>
  <c r="S370" i="18" s="1"/>
  <c r="AB36" i="18"/>
  <c r="S396" i="18" s="1"/>
  <c r="AB28" i="18"/>
  <c r="S324" i="18" s="1"/>
  <c r="AA31" i="18"/>
  <c r="S350" i="18" s="1"/>
  <c r="Z34" i="18"/>
  <c r="S376" i="18" s="1"/>
  <c r="Z26" i="18"/>
  <c r="S304" i="18" s="1"/>
  <c r="Y29" i="18"/>
  <c r="S330" i="18" s="1"/>
  <c r="X32" i="18"/>
  <c r="S356" i="18" s="1"/>
  <c r="W35" i="18"/>
  <c r="S382" i="18" s="1"/>
  <c r="W27" i="18"/>
  <c r="S310" i="18" s="1"/>
  <c r="V30" i="18"/>
  <c r="S336" i="18" s="1"/>
  <c r="AD32" i="18"/>
  <c r="S362" i="18" s="1"/>
  <c r="AC34" i="18"/>
  <c r="S379" i="18" s="1"/>
  <c r="AB35" i="18"/>
  <c r="S387" i="18" s="1"/>
  <c r="AB26" i="18"/>
  <c r="S306" i="18" s="1"/>
  <c r="AA28" i="18"/>
  <c r="S323" i="18" s="1"/>
  <c r="Z30" i="18"/>
  <c r="S340" i="18" s="1"/>
  <c r="Y32" i="18"/>
  <c r="S357" i="18" s="1"/>
  <c r="X34" i="18"/>
  <c r="S374" i="18" s="1"/>
  <c r="W36" i="18"/>
  <c r="S391" i="18" s="1"/>
  <c r="W26" i="18"/>
  <c r="S301" i="18" s="1"/>
  <c r="V28" i="18"/>
  <c r="S318" i="18" s="1"/>
  <c r="S15" i="18"/>
  <c r="M15" i="18" s="1"/>
  <c r="AD31" i="18"/>
  <c r="S353" i="18" s="1"/>
  <c r="AC32" i="18"/>
  <c r="S361" i="18" s="1"/>
  <c r="AB34" i="18"/>
  <c r="S378" i="18" s="1"/>
  <c r="AA36" i="18"/>
  <c r="S395" i="18" s="1"/>
  <c r="AA27" i="18"/>
  <c r="S314" i="18" s="1"/>
  <c r="Z29" i="18"/>
  <c r="S331" i="18" s="1"/>
  <c r="Y31" i="18"/>
  <c r="S348" i="18" s="1"/>
  <c r="X33" i="18"/>
  <c r="S365" i="18" s="1"/>
  <c r="W34" i="18"/>
  <c r="S373" i="18" s="1"/>
  <c r="V36" i="18"/>
  <c r="S390" i="18" s="1"/>
  <c r="V27" i="18"/>
  <c r="S309" i="18" s="1"/>
  <c r="S16" i="18"/>
  <c r="AD29" i="18"/>
  <c r="S335" i="18" s="1"/>
  <c r="AC31" i="18"/>
  <c r="S352" i="18" s="1"/>
  <c r="AB33" i="18"/>
  <c r="S369" i="18" s="1"/>
  <c r="AA35" i="18"/>
  <c r="S386" i="18" s="1"/>
  <c r="AA26" i="18"/>
  <c r="S305" i="18" s="1"/>
  <c r="Z28" i="18"/>
  <c r="S322" i="18" s="1"/>
  <c r="Y30" i="18"/>
  <c r="S339" i="18" s="1"/>
  <c r="X31" i="18"/>
  <c r="S347" i="18" s="1"/>
  <c r="W33" i="18"/>
  <c r="S364" i="18" s="1"/>
  <c r="V35" i="18"/>
  <c r="S381" i="18" s="1"/>
  <c r="V26" i="18"/>
  <c r="S300" i="18" s="1"/>
  <c r="S17" i="18"/>
  <c r="AD28" i="18"/>
  <c r="S326" i="18" s="1"/>
  <c r="AC30" i="18"/>
  <c r="S343" i="18" s="1"/>
  <c r="AB32" i="18"/>
  <c r="S360" i="18" s="1"/>
  <c r="AA34" i="18"/>
  <c r="S377" i="18" s="1"/>
  <c r="Z36" i="18"/>
  <c r="S394" i="18" s="1"/>
  <c r="Z27" i="18"/>
  <c r="S313" i="18" s="1"/>
  <c r="Y28" i="18"/>
  <c r="S321" i="18" s="1"/>
  <c r="X30" i="18"/>
  <c r="S338" i="18" s="1"/>
  <c r="W32" i="18"/>
  <c r="S355" i="18" s="1"/>
  <c r="V34" i="18"/>
  <c r="S372" i="18" s="1"/>
  <c r="S18" i="18"/>
  <c r="M18" i="18" s="1"/>
  <c r="S10" i="18"/>
  <c r="L10" i="18" s="1"/>
  <c r="AD36" i="18"/>
  <c r="S398" i="18" s="1"/>
  <c r="AD27" i="18"/>
  <c r="S317" i="18" s="1"/>
  <c r="AC29" i="18"/>
  <c r="S334" i="18" s="1"/>
  <c r="AB31" i="18"/>
  <c r="S351" i="18" s="1"/>
  <c r="AA33" i="18"/>
  <c r="S368" i="18" s="1"/>
  <c r="Z35" i="18"/>
  <c r="S385" i="18" s="1"/>
  <c r="Y36" i="18"/>
  <c r="S393" i="18" s="1"/>
  <c r="Y27" i="18"/>
  <c r="S312" i="18" s="1"/>
  <c r="X29" i="18"/>
  <c r="S329" i="18" s="1"/>
  <c r="W31" i="18"/>
  <c r="S346" i="18" s="1"/>
  <c r="V33" i="18"/>
  <c r="S363" i="18" s="1"/>
  <c r="S19" i="18"/>
  <c r="M19" i="18" s="1"/>
  <c r="S11" i="18"/>
  <c r="M11" i="18" s="1"/>
  <c r="AD35" i="18"/>
  <c r="S389" i="18" s="1"/>
  <c r="AD26" i="18"/>
  <c r="S308" i="18" s="1"/>
  <c r="AC28" i="18"/>
  <c r="S325" i="18" s="1"/>
  <c r="AB30" i="18"/>
  <c r="S342" i="18" s="1"/>
  <c r="AA32" i="18"/>
  <c r="S359" i="18" s="1"/>
  <c r="Z33" i="18"/>
  <c r="S367" i="18" s="1"/>
  <c r="Y35" i="18"/>
  <c r="S384" i="18" s="1"/>
  <c r="Y26" i="18"/>
  <c r="S303" i="18" s="1"/>
  <c r="X28" i="18"/>
  <c r="S320" i="18" s="1"/>
  <c r="W30" i="18"/>
  <c r="S337" i="18" s="1"/>
  <c r="V32" i="18"/>
  <c r="S354" i="18" s="1"/>
  <c r="S20" i="18"/>
  <c r="M20" i="18" s="1"/>
  <c r="S12" i="18"/>
  <c r="L12" i="18" s="1"/>
  <c r="AD34" i="18"/>
  <c r="S380" i="18" s="1"/>
  <c r="AC36" i="18"/>
  <c r="S397" i="18" s="1"/>
  <c r="AC27" i="18"/>
  <c r="S316" i="18" s="1"/>
  <c r="AB29" i="18"/>
  <c r="S333" i="18" s="1"/>
  <c r="AA30" i="18"/>
  <c r="S341" i="18" s="1"/>
  <c r="Z32" i="18"/>
  <c r="S358" i="18" s="1"/>
  <c r="Y34" i="18"/>
  <c r="S375" i="18" s="1"/>
  <c r="X36" i="18"/>
  <c r="S392" i="18" s="1"/>
  <c r="X27" i="18"/>
  <c r="S311" i="18" s="1"/>
  <c r="W29" i="18"/>
  <c r="S328" i="18" s="1"/>
  <c r="V31" i="18"/>
  <c r="S345" i="18" s="1"/>
  <c r="S13" i="18"/>
  <c r="M13" i="18" s="1"/>
  <c r="AD33" i="18"/>
  <c r="S371" i="18" s="1"/>
  <c r="AC35" i="18"/>
  <c r="S388" i="18" s="1"/>
  <c r="AC26" i="18"/>
  <c r="S307" i="18" s="1"/>
  <c r="AB27" i="18"/>
  <c r="S315" i="18" s="1"/>
  <c r="I27" i="18" s="1"/>
  <c r="AA29" i="18"/>
  <c r="S332" i="18" s="1"/>
  <c r="Z31" i="18"/>
  <c r="S349" i="18" s="1"/>
  <c r="Y33" i="18"/>
  <c r="S366" i="18" s="1"/>
  <c r="X35" i="18"/>
  <c r="S383" i="18" s="1"/>
  <c r="X26" i="18"/>
  <c r="S302" i="18" s="1"/>
  <c r="W28" i="18"/>
  <c r="S319" i="18" s="1"/>
  <c r="V29" i="18"/>
  <c r="S327" i="18" s="1"/>
  <c r="S14" i="18"/>
  <c r="L14" i="18" s="1"/>
  <c r="H50" i="18"/>
  <c r="K18" i="18"/>
  <c r="G46" i="18"/>
  <c r="E41" i="18"/>
  <c r="H45" i="18"/>
  <c r="E42" i="18"/>
  <c r="E51" i="18"/>
  <c r="G47" i="18"/>
  <c r="F49" i="18"/>
  <c r="K15" i="18"/>
  <c r="F45" i="18"/>
  <c r="H51" i="18"/>
  <c r="H48" i="18"/>
  <c r="E46" i="18"/>
  <c r="I41" i="18"/>
  <c r="E45" i="18"/>
  <c r="H42" i="18"/>
  <c r="E47" i="18"/>
  <c r="G48" i="18"/>
  <c r="E50" i="18"/>
  <c r="D46" i="18"/>
  <c r="H41" i="18"/>
  <c r="C51" i="18"/>
  <c r="K16" i="18"/>
  <c r="C48" i="18"/>
  <c r="K19" i="18"/>
  <c r="E49" i="18"/>
  <c r="F44" i="18"/>
  <c r="C45" i="18"/>
  <c r="D43" i="18"/>
  <c r="D47" i="18"/>
  <c r="I49" i="18"/>
  <c r="D44" i="18"/>
  <c r="G42" i="18"/>
  <c r="C43" i="18"/>
  <c r="H47" i="18"/>
  <c r="K13" i="18"/>
  <c r="F41" i="18"/>
  <c r="G51" i="18"/>
  <c r="K12" i="18"/>
  <c r="D48" i="18"/>
  <c r="I44" i="18"/>
  <c r="D45" i="18"/>
  <c r="I43" i="18"/>
  <c r="F47" i="18"/>
  <c r="I50" i="18"/>
  <c r="G49" i="18"/>
  <c r="K14" i="18"/>
  <c r="D51" i="18"/>
  <c r="H43" i="18"/>
  <c r="C49" i="18"/>
  <c r="I46" i="18"/>
  <c r="D42" i="18"/>
  <c r="I47" i="18"/>
  <c r="F46" i="18"/>
  <c r="D41" i="18"/>
  <c r="F51" i="18"/>
  <c r="G43" i="18"/>
  <c r="H44" i="18"/>
  <c r="F42" i="18"/>
  <c r="K20" i="18"/>
  <c r="E43" i="18"/>
  <c r="C50" i="18"/>
  <c r="H46" i="18"/>
  <c r="I51" i="18"/>
  <c r="C46" i="18"/>
  <c r="N344" i="18"/>
  <c r="N336" i="18"/>
  <c r="N338" i="18"/>
  <c r="N342" i="18"/>
  <c r="N337" i="18"/>
  <c r="N340" i="18"/>
  <c r="N343" i="18"/>
  <c r="N341" i="18"/>
  <c r="N339" i="18"/>
  <c r="K17" i="18"/>
  <c r="R369" i="18"/>
  <c r="R371" i="18"/>
  <c r="R363" i="18"/>
  <c r="R364" i="18"/>
  <c r="R366" i="18"/>
  <c r="R367" i="18"/>
  <c r="R368" i="18"/>
  <c r="R365" i="18"/>
  <c r="R370" i="18"/>
  <c r="H29" i="4"/>
  <c r="T119" i="5"/>
  <c r="T106" i="5"/>
  <c r="T135" i="5"/>
  <c r="T96" i="5"/>
  <c r="T109" i="5"/>
  <c r="T132" i="5"/>
  <c r="T97" i="5"/>
  <c r="T136" i="5"/>
  <c r="T137" i="5"/>
  <c r="T115" i="5"/>
  <c r="T100" i="5"/>
  <c r="T121" i="5"/>
  <c r="T92" i="5"/>
  <c r="T130" i="5"/>
  <c r="T124" i="5"/>
  <c r="T133" i="5"/>
  <c r="T99" i="5"/>
  <c r="T127" i="5"/>
  <c r="T125" i="5"/>
  <c r="T113" i="5"/>
  <c r="T117" i="5"/>
  <c r="T98" i="5"/>
  <c r="T103" i="5"/>
  <c r="T128" i="5"/>
  <c r="T111" i="5"/>
  <c r="T139" i="5"/>
  <c r="T105" i="5"/>
  <c r="T138" i="5"/>
  <c r="T112" i="5"/>
  <c r="T102" i="5"/>
  <c r="T91" i="5"/>
  <c r="T116" i="5"/>
  <c r="T131" i="5"/>
  <c r="T95" i="5"/>
  <c r="T129" i="5"/>
  <c r="T107" i="5"/>
  <c r="T134" i="5"/>
  <c r="T108" i="5"/>
  <c r="T94" i="5"/>
  <c r="T93" i="5"/>
  <c r="T123" i="5"/>
  <c r="T126" i="5"/>
  <c r="T120" i="5"/>
  <c r="T118" i="5"/>
  <c r="T101" i="5"/>
  <c r="T110" i="5"/>
  <c r="T104" i="5"/>
  <c r="T114" i="5"/>
  <c r="T122" i="5"/>
  <c r="K19" i="4"/>
  <c r="L14" i="4"/>
  <c r="J35" i="4"/>
  <c r="J21" i="4"/>
  <c r="M10" i="4"/>
  <c r="M11" i="4" s="1"/>
  <c r="H33" i="4"/>
  <c r="G31" i="5"/>
  <c r="G30" i="5"/>
  <c r="G86" i="5"/>
  <c r="I32" i="4"/>
  <c r="H62" i="5" s="1"/>
  <c r="I34" i="4"/>
  <c r="I28" i="4"/>
  <c r="D87" i="5"/>
  <c r="H51" i="5"/>
  <c r="H60" i="5" s="1"/>
  <c r="H61" i="5" s="1"/>
  <c r="F63" i="5"/>
  <c r="N10" i="4"/>
  <c r="N11" i="4" s="1"/>
  <c r="F27" i="18" l="1"/>
  <c r="M10" i="18"/>
  <c r="H31" i="18"/>
  <c r="H33" i="18"/>
  <c r="C32" i="18"/>
  <c r="E31" i="18"/>
  <c r="G33" i="18"/>
  <c r="I26" i="18"/>
  <c r="D33" i="18"/>
  <c r="I31" i="18"/>
  <c r="K33" i="18"/>
  <c r="E28" i="18"/>
  <c r="F33" i="18"/>
  <c r="C28" i="18"/>
  <c r="E35" i="18"/>
  <c r="C31" i="18"/>
  <c r="K28" i="18"/>
  <c r="K32" i="18"/>
  <c r="K31" i="18"/>
  <c r="I30" i="18"/>
  <c r="E26" i="18"/>
  <c r="K26" i="18"/>
  <c r="K27" i="18"/>
  <c r="C26" i="18"/>
  <c r="D31" i="18"/>
  <c r="H36" i="18"/>
  <c r="D28" i="18"/>
  <c r="I28" i="18"/>
  <c r="G27" i="18"/>
  <c r="I32" i="18"/>
  <c r="F28" i="18"/>
  <c r="C30" i="18"/>
  <c r="G28" i="18"/>
  <c r="E32" i="18"/>
  <c r="M12" i="18"/>
  <c r="J28" i="18"/>
  <c r="C27" i="18"/>
  <c r="J32" i="18"/>
  <c r="J34" i="18"/>
  <c r="D34" i="18"/>
  <c r="D30" i="18"/>
  <c r="J31" i="18"/>
  <c r="D26" i="18"/>
  <c r="H32" i="18"/>
  <c r="L11" i="18"/>
  <c r="C34" i="18"/>
  <c r="H26" i="18"/>
  <c r="J33" i="18"/>
  <c r="I33" i="18"/>
  <c r="J26" i="18"/>
  <c r="E33" i="18"/>
  <c r="G32" i="18"/>
  <c r="F32" i="18"/>
  <c r="H29" i="18"/>
  <c r="F31" i="18"/>
  <c r="C36" i="18"/>
  <c r="F26" i="18"/>
  <c r="L18" i="18"/>
  <c r="D27" i="18"/>
  <c r="K30" i="18"/>
  <c r="L13" i="18"/>
  <c r="H30" i="18"/>
  <c r="D32" i="18"/>
  <c r="G31" i="18"/>
  <c r="F34" i="18"/>
  <c r="H28" i="18"/>
  <c r="G30" i="18"/>
  <c r="C33" i="18"/>
  <c r="H27" i="18"/>
  <c r="H34" i="18"/>
  <c r="F36" i="18"/>
  <c r="I36" i="18"/>
  <c r="E27" i="18"/>
  <c r="J27" i="18"/>
  <c r="G26" i="18"/>
  <c r="I29" i="18"/>
  <c r="G35" i="18"/>
  <c r="K35" i="18"/>
  <c r="I34" i="18"/>
  <c r="L20" i="18"/>
  <c r="K36" i="18"/>
  <c r="M14" i="18"/>
  <c r="C29" i="18"/>
  <c r="K29" i="18"/>
  <c r="L19" i="18"/>
  <c r="J35" i="18"/>
  <c r="E34" i="18"/>
  <c r="G34" i="18"/>
  <c r="J36" i="18"/>
  <c r="F30" i="18"/>
  <c r="E30" i="18"/>
  <c r="E29" i="18"/>
  <c r="F35" i="18"/>
  <c r="K34" i="18"/>
  <c r="G36" i="18"/>
  <c r="M17" i="18"/>
  <c r="L17" i="18"/>
  <c r="F29" i="18"/>
  <c r="H35" i="18"/>
  <c r="M16" i="18"/>
  <c r="L16" i="18"/>
  <c r="E36" i="18"/>
  <c r="L15" i="18"/>
  <c r="G29" i="18"/>
  <c r="D35" i="18"/>
  <c r="C35" i="18"/>
  <c r="D36" i="18"/>
  <c r="J29" i="18"/>
  <c r="D29" i="18"/>
  <c r="I35" i="18"/>
  <c r="J30" i="18"/>
  <c r="I33" i="4"/>
  <c r="C40" i="5"/>
  <c r="H31" i="5"/>
  <c r="H58" i="5" s="1"/>
  <c r="H59" i="5" s="1"/>
  <c r="H86" i="5"/>
  <c r="G63" i="5"/>
  <c r="G58" i="5"/>
  <c r="C44" i="5"/>
  <c r="I51" i="5"/>
  <c r="I60" i="5" s="1"/>
  <c r="I61" i="5" s="1"/>
  <c r="C19" i="5" a="1"/>
  <c r="C19" i="5" s="1"/>
  <c r="C20" i="5" s="1"/>
  <c r="J28" i="4"/>
  <c r="J32" i="4"/>
  <c r="I62" i="5" s="1"/>
  <c r="J34" i="4"/>
  <c r="M14" i="4"/>
  <c r="L19" i="4"/>
  <c r="K35" i="4"/>
  <c r="K21" i="4"/>
  <c r="C39" i="5"/>
  <c r="I29" i="4"/>
  <c r="U92" i="5"/>
  <c r="U138" i="5"/>
  <c r="U126" i="5"/>
  <c r="U134" i="5"/>
  <c r="U125" i="5"/>
  <c r="U115" i="5"/>
  <c r="U121" i="5"/>
  <c r="U129" i="5"/>
  <c r="U110" i="5"/>
  <c r="U123" i="5"/>
  <c r="U135" i="5"/>
  <c r="U124" i="5"/>
  <c r="U133" i="5"/>
  <c r="U109" i="5"/>
  <c r="U131" i="5"/>
  <c r="U119" i="5"/>
  <c r="U128" i="5"/>
  <c r="U94" i="5"/>
  <c r="U120" i="5"/>
  <c r="U98" i="5"/>
  <c r="U116" i="5"/>
  <c r="U108" i="5"/>
  <c r="U99" i="5"/>
  <c r="U102" i="5"/>
  <c r="U117" i="5"/>
  <c r="U104" i="5"/>
  <c r="U132" i="5"/>
  <c r="U136" i="5"/>
  <c r="U139" i="5"/>
  <c r="U106" i="5"/>
  <c r="U100" i="5"/>
  <c r="U95" i="5"/>
  <c r="U118" i="5"/>
  <c r="U91" i="5"/>
  <c r="U107" i="5"/>
  <c r="U122" i="5"/>
  <c r="U93" i="5"/>
  <c r="U114" i="5"/>
  <c r="U111" i="5"/>
  <c r="U105" i="5"/>
  <c r="U97" i="5"/>
  <c r="U130" i="5"/>
  <c r="U112" i="5"/>
  <c r="U137" i="5"/>
  <c r="U96" i="5"/>
  <c r="U113" i="5"/>
  <c r="U127" i="5"/>
  <c r="U103" i="5"/>
  <c r="U101" i="5"/>
  <c r="C35" i="5" l="1"/>
  <c r="J29" i="4"/>
  <c r="K32" i="4"/>
  <c r="J62" i="5" s="1"/>
  <c r="K34" i="4"/>
  <c r="K28" i="4"/>
  <c r="J51" i="5"/>
  <c r="J60" i="5" s="1"/>
  <c r="G59" i="5"/>
  <c r="N59" i="5" s="1"/>
  <c r="C21" i="5"/>
  <c r="C22" i="5" s="1"/>
  <c r="L35" i="4"/>
  <c r="L21" i="4"/>
  <c r="N14" i="4"/>
  <c r="N19" i="4" s="1"/>
  <c r="M19" i="4"/>
  <c r="I31" i="5"/>
  <c r="I58" i="5" s="1"/>
  <c r="I59" i="5" s="1"/>
  <c r="J33" i="4"/>
  <c r="V135" i="5"/>
  <c r="E83" i="5" s="1"/>
  <c r="V96" i="5"/>
  <c r="H77" i="5" s="1"/>
  <c r="V124" i="5"/>
  <c r="H81" i="5" s="1"/>
  <c r="V101" i="5"/>
  <c r="F78" i="5" s="1"/>
  <c r="V100" i="5"/>
  <c r="E78" i="5" s="1"/>
  <c r="V136" i="5"/>
  <c r="F83" i="5" s="1"/>
  <c r="V95" i="5"/>
  <c r="G77" i="5" s="1"/>
  <c r="V129" i="5"/>
  <c r="F82" i="5" s="1"/>
  <c r="V106" i="5"/>
  <c r="D79" i="5" s="1"/>
  <c r="V104" i="5"/>
  <c r="I78" i="5" s="1"/>
  <c r="V94" i="5"/>
  <c r="F77" i="5" s="1"/>
  <c r="V133" i="5"/>
  <c r="C83" i="5" s="1"/>
  <c r="V130" i="5"/>
  <c r="G82" i="5" s="1"/>
  <c r="V134" i="5"/>
  <c r="D83" i="5" s="1"/>
  <c r="V119" i="5"/>
  <c r="C81" i="5" s="1"/>
  <c r="V131" i="5"/>
  <c r="H82" i="5" s="1"/>
  <c r="V91" i="5"/>
  <c r="C77" i="5" s="1"/>
  <c r="V132" i="5"/>
  <c r="I82" i="5" s="1"/>
  <c r="V103" i="5"/>
  <c r="H78" i="5" s="1"/>
  <c r="V109" i="5"/>
  <c r="G79" i="5" s="1"/>
  <c r="V116" i="5"/>
  <c r="G80" i="5" s="1"/>
  <c r="V111" i="5"/>
  <c r="I79" i="5" s="1"/>
  <c r="V139" i="5"/>
  <c r="I83" i="5" s="1"/>
  <c r="V105" i="5"/>
  <c r="C79" i="5" s="1"/>
  <c r="V97" i="5"/>
  <c r="I77" i="5" s="1"/>
  <c r="V118" i="5"/>
  <c r="I80" i="5" s="1"/>
  <c r="V121" i="5"/>
  <c r="E81" i="5" s="1"/>
  <c r="V128" i="5"/>
  <c r="E82" i="5" s="1"/>
  <c r="V123" i="5"/>
  <c r="G81" i="5" s="1"/>
  <c r="V98" i="5"/>
  <c r="C78" i="5" s="1"/>
  <c r="V102" i="5"/>
  <c r="G78" i="5" s="1"/>
  <c r="V125" i="5"/>
  <c r="I81" i="5" s="1"/>
  <c r="V137" i="5"/>
  <c r="G83" i="5" s="1"/>
  <c r="V92" i="5"/>
  <c r="D77" i="5" s="1"/>
  <c r="V138" i="5"/>
  <c r="H83" i="5" s="1"/>
  <c r="V110" i="5"/>
  <c r="H79" i="5" s="1"/>
  <c r="V112" i="5"/>
  <c r="C80" i="5" s="1"/>
  <c r="V93" i="5"/>
  <c r="E77" i="5" s="1"/>
  <c r="V107" i="5"/>
  <c r="E79" i="5" s="1"/>
  <c r="V117" i="5"/>
  <c r="H80" i="5" s="1"/>
  <c r="V120" i="5"/>
  <c r="D81" i="5" s="1"/>
  <c r="V114" i="5"/>
  <c r="E80" i="5" s="1"/>
  <c r="V108" i="5"/>
  <c r="F79" i="5" s="1"/>
  <c r="V113" i="5"/>
  <c r="D80" i="5" s="1"/>
  <c r="V115" i="5"/>
  <c r="F80" i="5" s="1"/>
  <c r="V126" i="5"/>
  <c r="C82" i="5" s="1"/>
  <c r="V127" i="5"/>
  <c r="D82" i="5" s="1"/>
  <c r="V122" i="5"/>
  <c r="F81" i="5" s="1"/>
  <c r="V99" i="5"/>
  <c r="D78" i="5" s="1"/>
  <c r="N35" i="4" l="1"/>
  <c r="N21" i="4"/>
  <c r="J61" i="5"/>
  <c r="J31" i="5"/>
  <c r="J58" i="5" s="1"/>
  <c r="J59" i="5" s="1"/>
  <c r="K33" i="4"/>
  <c r="M35" i="4"/>
  <c r="M21" i="4"/>
  <c r="L28" i="4"/>
  <c r="L34" i="4"/>
  <c r="L32" i="4"/>
  <c r="K62" i="5" s="1"/>
  <c r="K51" i="5"/>
  <c r="K60" i="5" s="1"/>
  <c r="K61" i="5" s="1"/>
  <c r="C24" i="5"/>
  <c r="H50" i="5"/>
  <c r="K29" i="4"/>
  <c r="L29" i="4" l="1"/>
  <c r="C54" i="5"/>
  <c r="C53" i="5"/>
  <c r="C41" i="5"/>
  <c r="C26" i="5"/>
  <c r="C36" i="5" s="1"/>
  <c r="H30" i="5"/>
  <c r="K31" i="5"/>
  <c r="K58" i="5" s="1"/>
  <c r="L33" i="4"/>
  <c r="N34" i="4"/>
  <c r="M51" i="5"/>
  <c r="M60" i="5" s="1"/>
  <c r="N28" i="4"/>
  <c r="N32" i="4"/>
  <c r="M62" i="5" s="1"/>
  <c r="M28" i="4"/>
  <c r="L51" i="5"/>
  <c r="L60" i="5" s="1"/>
  <c r="L61" i="5" s="1"/>
  <c r="M34" i="4"/>
  <c r="M32" i="4"/>
  <c r="L62" i="5" s="1"/>
  <c r="M31" i="5" l="1"/>
  <c r="M58" i="5" s="1"/>
  <c r="M59" i="5" s="1"/>
  <c r="N33" i="4"/>
  <c r="K59" i="5"/>
  <c r="C45" i="5" a="1"/>
  <c r="C45" i="5" s="1"/>
  <c r="C42" i="5"/>
  <c r="H63" i="5"/>
  <c r="C33" i="5"/>
  <c r="C34" i="5"/>
  <c r="C66" i="5"/>
  <c r="L31" i="5"/>
  <c r="L58" i="5" s="1"/>
  <c r="L59" i="5" s="1"/>
  <c r="M33" i="4"/>
  <c r="N62" i="5"/>
  <c r="M61" i="5"/>
  <c r="N61" i="5" s="1"/>
  <c r="N60" i="5"/>
  <c r="M29" i="4"/>
  <c r="N29" i="4" s="1"/>
  <c r="N58" i="5" l="1"/>
  <c r="C68" i="5"/>
  <c r="C70" i="5" s="1"/>
  <c r="C71" i="5" s="1"/>
  <c r="C72" i="5" s="1"/>
  <c r="C73" i="5" s="1"/>
  <c r="C74" i="5" s="1"/>
  <c r="C43" i="5"/>
  <c r="H64" i="5" s="1"/>
  <c r="N6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 Moutopoulos</author>
  </authors>
  <commentList>
    <comment ref="C6" authorId="0" shapeId="0" xr:uid="{9D01BF00-679C-FD4D-9130-D8A3C1905969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 Year GPR from Rent Comp tab F36</t>
        </r>
      </text>
    </comment>
    <comment ref="E7" authorId="0" shapeId="0" xr:uid="{4FF1F8CF-C44C-1147-A870-6D184211683C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Assumptions!B55</t>
        </r>
      </text>
    </comment>
    <comment ref="F7" authorId="0" shapeId="0" xr:uid="{C5099B26-1F21-3C4A-92E5-2C9D82F6ECAC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Assumptions!B56</t>
        </r>
      </text>
    </comment>
    <comment ref="G7" authorId="0" shapeId="0" xr:uid="{24C4AD2B-121C-E740-BF8D-AE671D9637A5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Assumptions!B57</t>
        </r>
      </text>
    </comment>
    <comment ref="H7" authorId="0" shapeId="0" xr:uid="{9A1DED44-A77F-564B-BC12-EA62B5A34DA8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Assumptions!B58</t>
        </r>
      </text>
    </comment>
    <comment ref="I7" authorId="0" shapeId="0" xr:uid="{AEC79F7C-B13C-E643-9F9D-35DF3BF13D09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Assumptions!B59</t>
        </r>
      </text>
    </comment>
    <comment ref="J7" authorId="0" shapeId="0" xr:uid="{2A6CD4FC-0A3D-1D43-BAE9-714A7A565F09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Assumptions!B60</t>
        </r>
      </text>
    </comment>
    <comment ref="K7" authorId="0" shapeId="0" xr:uid="{E32E396A-DB5C-FD4D-9CB4-F836E77DC64F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Assumptions!B61</t>
        </r>
      </text>
    </comment>
    <comment ref="L7" authorId="0" shapeId="0" xr:uid="{87AC010D-625F-BF4B-8CE5-6955B384C839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Assumptions!B62</t>
        </r>
      </text>
    </comment>
    <comment ref="M7" authorId="0" shapeId="0" xr:uid="{1F9249AF-4FBE-E04D-A958-A0E5D407440C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Assumptions!B63</t>
        </r>
      </text>
    </comment>
    <comment ref="N7" authorId="0" shapeId="0" xr:uid="{E22A9021-A7AE-B342-B694-77FA9A81C353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From Assumptions!B64</t>
        </r>
      </text>
    </comment>
    <comment ref="C8" authorId="0" shapeId="0" xr:uid="{C388BEAC-466A-DB4D-8851-799627F7971E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Other Income = 100 units × $75/mo × 12</t>
        </r>
      </text>
    </comment>
    <comment ref="C10" authorId="0" shapeId="0" xr:uid="{E76CD7B0-7E51-2E4B-ACCF-AC375E919BF7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Assumptions!B23</t>
        </r>
      </text>
    </comment>
    <comment ref="C14" authorId="0" shapeId="0" xr:uid="{7398513E-CC62-3F4E-AA9B-698EF827FBA6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100 units × $2,400/yr from Assumptions!B28</t>
        </r>
      </text>
    </comment>
    <comment ref="C15" authorId="0" shapeId="0" xr:uid="{FA9FB060-5457-4343-B9E2-2008FDDDB25B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100 units × $900/yr from Assumptions!B29</t>
        </r>
      </text>
    </comment>
    <comment ref="C16" authorId="0" shapeId="0" xr:uid="{8AAC5835-3236-3E4B-ABF2-4AE5A0A532F7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Mgmt fee % from Assumptions!B30</t>
        </r>
      </text>
    </comment>
    <comment ref="C17" authorId="0" shapeId="0" xr:uid="{62B0A692-C8D8-0048-AD13-F5BBFFBF85DE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100 units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$1,200/yr from Assumptions!B31</t>
        </r>
      </text>
    </comment>
    <comment ref="C18" authorId="0" shapeId="0" xr:uid="{1810E06E-37BD-B04E-8830-4EEF8D3C9146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100 units × $300/yr from Assumptions!B32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 Moutopoulos</author>
  </authors>
  <commentList>
    <comment ref="B69" authorId="0" shapeId="0" xr:uid="{7005EB41-8826-344A-ACE2-3C4C134BE7B4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⚠️ MODEL NOTE: Preferred return is calculated as simple interest on TOTAL equity (GP+LP combined), not compounded annually and not LP-only equity. Institutionally, pref typically applies to LP equity only and accrues annually. If LP-only, the correct base is $5,028,750 (90% of total equity). Consider updating formula to: =B47*(1-B10)*B11*B5 for LP-only simple pref, or =B47*(1-B10)*((1+B11)^B5-1) for compounded.</t>
        </r>
      </text>
    </comment>
    <comment ref="B71" authorId="0" shapeId="0" xr:uid="{E56B55F6-5D17-9143-B6D1-BCC1983D055C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✅ Verified: GP Promote = 20% × Profit Above Pref. This is a one-tier structure with no catch-up mechanism. Standard institutional structures often include a GP catch-up tier (e.g., GP receives 100% until reaching 20% of total profit) before the 80/20 split applies.</t>
        </r>
      </text>
    </comment>
    <comment ref="B72" authorId="0" shapeId="0" xr:uid="{B687D255-D9CC-464D-973F-50B66C36C3EC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⚠️ MODEL NOTE: GP Total = (Return of Capital × GP%) + GP Promote. This only captures the GP's return of contributed capital plus promote. It does NOT include the GP's pro-rata share of operating cash flows (which flow to LP Total as a residual). A complete waterfall should track GP operating distributions separately.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 Moutopoulos</author>
  </authors>
  <commentList>
    <comment ref="C5" authorId="0" shapeId="0" xr:uid="{7137838B-9FFA-0B48-86FE-B5F63FA0BA19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Assumptions!B38</t>
        </r>
      </text>
    </comment>
    <comment ref="C6" authorId="0" shapeId="0" xr:uid="{95FFBE70-EFB7-094B-AC31-51FF45D96060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Assumptions!B39</t>
        </r>
      </text>
    </comment>
    <comment ref="C7" authorId="0" shapeId="0" xr:uid="{F890F530-06E8-6D47-8110-C7FB95BDDF21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Assumptions!B40</t>
        </r>
      </text>
    </comment>
    <comment ref="C8" authorId="0" shapeId="0" xr:uid="{037EF26B-3E3A-0F4A-B4CB-752E3FF59025}">
      <text>
        <r>
          <rPr>
            <b/>
            <sz val="10"/>
            <color rgb="FF000000"/>
            <rFont val="Tahoma"/>
            <family val="2"/>
          </rPr>
          <t>Niko Moutopoulos: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Assumptions!B41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<sst xmlns="http://schemas.openxmlformats.org/spreadsheetml/2006/main" count="439" uniqueCount="311">
  <si>
    <t>ACQUISITION &amp; PROPERTY</t>
  </si>
  <si>
    <t>Sample Multifamily</t>
  </si>
  <si>
    <t>RENOVATION</t>
  </si>
  <si>
    <t>REVENUE ASSUMPTIONS</t>
  </si>
  <si>
    <t>OPERATING EXPENSES</t>
  </si>
  <si>
    <t>DEBT ASSUMPTIONS</t>
  </si>
  <si>
    <t>Agency/Perm</t>
  </si>
  <si>
    <t>Loan Amount ($)</t>
  </si>
  <si>
    <t>IO Period (Months)</t>
  </si>
  <si>
    <t>Amortization (Years)</t>
  </si>
  <si>
    <t>HOLD PERIOD &amp; EXIT</t>
  </si>
  <si>
    <t>GP/LP STRUCTURE</t>
  </si>
  <si>
    <t>RENT GROWTH BY 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</si>
  <si>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</si>
  <si>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</si>
  <si>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</si>
  <si>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</si>
  <si>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</si>
  <si>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</si>
  <si>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</si>
  <si>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</si>
  <si>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</si>
  <si>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</si>
  <si>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EQUITY SUMMARY</t>
  </si>
  <si>
    <t>Unit Type</t>
  </si>
  <si>
    <t># Units</t>
  </si>
  <si>
    <t>Studio</t>
  </si>
  <si>
    <t>ANNUAL PRO FORMA CASH FLOW (Year 0–10)</t>
  </si>
  <si>
    <t>Assumptions</t>
  </si>
  <si>
    <t>Year 0</t>
  </si>
  <si>
    <t>REVENUE</t>
  </si>
  <si>
    <t xml:space="preserve">  Gross Potential Rent</t>
  </si>
  <si>
    <t xml:space="preserve">  Rent Growth Rate</t>
  </si>
  <si>
    <t xml:space="preserve">  Other Income</t>
  </si>
  <si>
    <t>Effective Gross Income (EGI)</t>
  </si>
  <si>
    <t xml:space="preserve">  Less: Vacancy &amp; Credit Loss</t>
  </si>
  <si>
    <t>Net Effective Income</t>
  </si>
  <si>
    <t>Total Operating Expenses</t>
  </si>
  <si>
    <t>NET OPERATING INCOME (NOI)</t>
  </si>
  <si>
    <t>DEBT SERVICE</t>
  </si>
  <si>
    <t xml:space="preserve">  Interest Expense</t>
  </si>
  <si>
    <t xml:space="preserve">  Principal Payment</t>
  </si>
  <si>
    <t>Total Debt Service</t>
  </si>
  <si>
    <t>CASH FLOW BEFORE TAX</t>
  </si>
  <si>
    <t>Cumulative Cash Flow</t>
  </si>
  <si>
    <t>KEY METRICS</t>
  </si>
  <si>
    <t xml:space="preserve">  DSCR</t>
  </si>
  <si>
    <t xml:space="preserve">  Cash-on-Cash Return</t>
  </si>
  <si>
    <t xml:space="preserve">  Cap Rate (on Purchase)</t>
  </si>
  <si>
    <t xml:space="preserve">  OpEx Ratio</t>
  </si>
  <si>
    <t>DEBT AMORTIZATION SCHEDULE</t>
  </si>
  <si>
    <t>KEY INPUTS</t>
  </si>
  <si>
    <t>Annual Interest Rate</t>
  </si>
  <si>
    <t>Monthly Rate</t>
  </si>
  <si>
    <t>Monthly Payment (Amort)</t>
  </si>
  <si>
    <t>Month</t>
  </si>
  <si>
    <t>Year</t>
  </si>
  <si>
    <t>IO/Amort</t>
  </si>
  <si>
    <t>Beg Balance</t>
  </si>
  <si>
    <t>Payment</t>
  </si>
  <si>
    <t>Interest</t>
  </si>
  <si>
    <t>Principal</t>
  </si>
  <si>
    <t>End Balance</t>
  </si>
  <si>
    <t>MULTIFAMILY ACQUISITION — ASSUMPTIONS</t>
  </si>
  <si>
    <t xml:space="preserve">  Renovation Cost / Unit ($)</t>
  </si>
  <si>
    <t xml:space="preserve">  Total Renovation Budget ($)</t>
  </si>
  <si>
    <t xml:space="preserve">  Vacancy &amp; Credit Loss (%)</t>
  </si>
  <si>
    <t xml:space="preserve">  Other Income / Unit / Month ($)</t>
  </si>
  <si>
    <t xml:space="preserve">  Real Estate Taxes / Unit / Yr ($)</t>
  </si>
  <si>
    <t xml:space="preserve">  Insurance / Unit / Yr ($)</t>
  </si>
  <si>
    <t xml:space="preserve">  Management Fee (% of EGI)</t>
  </si>
  <si>
    <t xml:space="preserve">  Repairs &amp; Maintenance / Unit / Yr ($)</t>
  </si>
  <si>
    <t xml:space="preserve">  CapEx Reserve / Unit / Yr ($)</t>
  </si>
  <si>
    <t xml:space="preserve">  OpEx Growth Rate (%)</t>
  </si>
  <si>
    <t xml:space="preserve">  Loan Type</t>
  </si>
  <si>
    <t xml:space="preserve">  LTV (%)</t>
  </si>
  <si>
    <t xml:space="preserve">  Loan Amount ($)</t>
  </si>
  <si>
    <t xml:space="preserve">  Interest Rate (%)</t>
  </si>
  <si>
    <t xml:space="preserve">  IO Period (Months)</t>
  </si>
  <si>
    <t xml:space="preserve">  Amortization (Years)</t>
  </si>
  <si>
    <t xml:space="preserve">  Loan Term (Years)</t>
  </si>
  <si>
    <t xml:space="preserve">  Origination Fee (%)</t>
  </si>
  <si>
    <t xml:space="preserve">  Origination Fee ($)</t>
  </si>
  <si>
    <t xml:space="preserve">  Hold Period (Years)</t>
  </si>
  <si>
    <t xml:space="preserve">  Exit Cap Rate (%)</t>
  </si>
  <si>
    <t xml:space="preserve">  Selling Costs (%)</t>
  </si>
  <si>
    <t xml:space="preserve">  GP Co-Invest (%)</t>
  </si>
  <si>
    <t xml:space="preserve">  LP Pref Return (%)</t>
  </si>
  <si>
    <t xml:space="preserve">  GP Promote Above Pref (%)</t>
  </si>
  <si>
    <t xml:space="preserve">  Year 1</t>
  </si>
  <si>
    <t xml:space="preserve">  Year 2</t>
  </si>
  <si>
    <t xml:space="preserve">  Year 3</t>
  </si>
  <si>
    <t xml:space="preserve">  Year 4</t>
  </si>
  <si>
    <t xml:space="preserve">  Year 5</t>
  </si>
  <si>
    <t xml:space="preserve">  Year 6</t>
  </si>
  <si>
    <t xml:space="preserve">  Year 7</t>
  </si>
  <si>
    <t xml:space="preserve">  Year 8</t>
  </si>
  <si>
    <t xml:space="preserve">  Year 9</t>
  </si>
  <si>
    <t xml:space="preserve">  Year 10</t>
  </si>
  <si>
    <t xml:space="preserve">  Total Equity Required ($)</t>
  </si>
  <si>
    <t xml:space="preserve">    GP Equity ($)</t>
  </si>
  <si>
    <t xml:space="preserve">    LP Equity ($)</t>
  </si>
  <si>
    <t>All inputs below drive the model. Blue = hardcoded input. Black = formula output.</t>
  </si>
  <si>
    <t xml:space="preserve">  Property Name</t>
  </si>
  <si>
    <t xml:space="preserve">  Acquisition Price ($)</t>
  </si>
  <si>
    <t xml:space="preserve">  Closing Costs (%)</t>
  </si>
  <si>
    <t xml:space="preserve">  Closing Costs ($)</t>
  </si>
  <si>
    <t xml:space="preserve">  Total Acquisition Cost ($)</t>
  </si>
  <si>
    <t>UNIT MIX &amp; RENT SCHEDULE</t>
  </si>
  <si>
    <t>Beds</t>
  </si>
  <si>
    <t>Baths</t>
  </si>
  <si>
    <t>Avg SF</t>
  </si>
  <si>
    <t>Avg Rent / Mo ($)</t>
  </si>
  <si>
    <t>Mo Revenue ($)</t>
  </si>
  <si>
    <t>Ann Revenue ($)</t>
  </si>
  <si>
    <t>1BR / 1BA</t>
  </si>
  <si>
    <t>2BR / 1BA</t>
  </si>
  <si>
    <t>2BR / 2BA</t>
  </si>
  <si>
    <t>3BR / 2BA</t>
  </si>
  <si>
    <t>4BR / 2BA</t>
  </si>
  <si>
    <t>5BR / 3BA</t>
  </si>
  <si>
    <t>TOTALS</t>
  </si>
  <si>
    <t xml:space="preserve">  Total Units (auto)</t>
  </si>
  <si>
    <t xml:space="preserve">  Gross Potential Rent / Yr ($)</t>
  </si>
  <si>
    <t>All inputs sourced from Assumptions tab — edit blue cells there to update the model.</t>
  </si>
  <si>
    <t>EXIT &amp; RETURNS ANALYSIS</t>
  </si>
  <si>
    <t xml:space="preserve">  KEY INPUTS</t>
  </si>
  <si>
    <t xml:space="preserve">  EXIT ANALYSIS</t>
  </si>
  <si>
    <t>All inputs auto-populated from Assumptions tab  |  Edit blue cells on Assumptions to update this model</t>
  </si>
  <si>
    <t xml:space="preserve">  LEVERED IRR CALCULATION</t>
  </si>
  <si>
    <t xml:space="preserve">  UNLEVERED IRR CALCULATION</t>
  </si>
  <si>
    <t xml:space="preserve">  SENSITIVITY: LEVERED IRR  —  Exit Cap Rate  ×  Rent Growth</t>
  </si>
  <si>
    <t xml:space="preserve">  Exit Cap Rate</t>
  </si>
  <si>
    <t xml:space="preserve">  Selling Costs</t>
  </si>
  <si>
    <t xml:space="preserve">  Total Equity Invested</t>
  </si>
  <si>
    <t xml:space="preserve">  Loan Amount</t>
  </si>
  <si>
    <t xml:space="preserve">  GP Co-Invest</t>
  </si>
  <si>
    <t xml:space="preserve">  LP Preferred Return</t>
  </si>
  <si>
    <t xml:space="preserve">  GP Promote Above Pref</t>
  </si>
  <si>
    <t xml:space="preserve">  Acquisition Price</t>
  </si>
  <si>
    <t xml:space="preserve">  Interest Rate</t>
  </si>
  <si>
    <t xml:space="preserve">  Exit Year NOI</t>
  </si>
  <si>
    <t xml:space="preserve">  Gross Sale Price</t>
  </si>
  <si>
    <t xml:space="preserve">  Less: Selling Costs</t>
  </si>
  <si>
    <t xml:space="preserve">  Net Sale Proceeds</t>
  </si>
  <si>
    <t xml:space="preserve">  Less: Loan Payoff</t>
  </si>
  <si>
    <t xml:space="preserve">  Net Equity Proceeds</t>
  </si>
  <si>
    <t xml:space="preserve">  Return of Capital</t>
  </si>
  <si>
    <t xml:space="preserve">  Total Profit on Sale</t>
  </si>
  <si>
    <t xml:space="preserve">  Levered Cash Flow</t>
  </si>
  <si>
    <t xml:space="preserve">  Annual CFBT (from Cash Flow)</t>
  </si>
  <si>
    <t xml:space="preserve">  Levered IRR</t>
  </si>
  <si>
    <t xml:space="preserve">  Equity Multiple (x)</t>
  </si>
  <si>
    <t xml:space="preserve">  Avg Cash-on-Cash Yield</t>
  </si>
  <si>
    <t xml:space="preserve">  Total Profit</t>
  </si>
  <si>
    <t xml:space="preserve">  Unlevered Cash Flow</t>
  </si>
  <si>
    <t xml:space="preserve">  Annual NOI (from Cash Flow)</t>
  </si>
  <si>
    <t xml:space="preserve">  Unlevered IRR</t>
  </si>
  <si>
    <t xml:space="preserve">  Unlevered Equity Multiple (x)</t>
  </si>
  <si>
    <t xml:space="preserve">  Total Distributions (CF + Exit)</t>
  </si>
  <si>
    <t xml:space="preserve">  Profit Above Pref</t>
  </si>
  <si>
    <t xml:space="preserve">  LP Total (Distributions - GP)</t>
  </si>
  <si>
    <t xml:space="preserve">  Exit Cap \ Rent Growth</t>
  </si>
  <si>
    <t>[helper] CFBT Yr1-5</t>
  </si>
  <si>
    <t>[helper] Exit NOI Yr5</t>
  </si>
  <si>
    <t xml:space="preserve">  MOIC RECONCILIATION BRIDGE</t>
  </si>
  <si>
    <t xml:space="preserve">  Equity Invested (Year 0)</t>
  </si>
  <si>
    <t xml:space="preserve">  + Operating Cash Flows (Yrs 1–4)</t>
  </si>
  <si>
    <t xml:space="preserve">  + Exit Year CFBT (Yr 5)</t>
  </si>
  <si>
    <t xml:space="preserve">  + Net Equity Proceeds (Exit)</t>
  </si>
  <si>
    <t xml:space="preserve">  Total Equity Distributions</t>
  </si>
  <si>
    <t xml:space="preserve">  Equity Multiple (MOIC)</t>
  </si>
  <si>
    <t xml:space="preserve">    of which: Operating Cash Flow Contribution</t>
  </si>
  <si>
    <t xml:space="preserve">    of which: Exit Proceeds Contribution</t>
  </si>
  <si>
    <t xml:space="preserve">  CASH-ON-CASH RETURN &amp; EQUITY MULTIPLE DECOMPOSITION</t>
  </si>
  <si>
    <t xml:space="preserve">  Year</t>
  </si>
  <si>
    <t>Avg / Total</t>
  </si>
  <si>
    <t xml:space="preserve">  CFBT ($)</t>
  </si>
  <si>
    <t xml:space="preserve">  Cash-on-Cash Yield (%)</t>
  </si>
  <si>
    <t>n/a</t>
  </si>
  <si>
    <t xml:space="preserve">  NOI ($)</t>
  </si>
  <si>
    <t xml:space="preserve">  NOI Yield on Cost (%)</t>
  </si>
  <si>
    <t xml:space="preserve">  Cumulative Equity Multiple</t>
  </si>
  <si>
    <t>—</t>
  </si>
  <si>
    <t xml:space="preserve">  % of Return from Exit Proceeds</t>
  </si>
  <si>
    <t xml:space="preserve">  LP Pref Return (cumulative, simple)</t>
  </si>
  <si>
    <t>← Simple pref on total equity (see note)</t>
  </si>
  <si>
    <t xml:space="preserve">  GP Promote (20% of profit above pref)</t>
  </si>
  <si>
    <t>← No catch-up tier (see note)</t>
  </si>
  <si>
    <t xml:space="preserve">  GP Total (Co-Invest ROC + Promote)</t>
  </si>
  <si>
    <t>← Excl. GP pro-rata operating CFs (see note)</t>
  </si>
  <si>
    <t xml:space="preserve">  LP MOIC (LP Total / LP Equity)</t>
  </si>
  <si>
    <t>★  Yellow = base case  |  Rows = Exit Cap Rate (base: 6.0%)  |  Columns = Rent Growth Yr1 (base: 3.0%)</t>
  </si>
  <si>
    <t xml:space="preserve">  SENSITIVITY: LEVERED IRR  —  Hold Period (Years)  ×  Exit Cap Rate</t>
  </si>
  <si>
    <t xml:space="preserve">  Exit Cap \ Hold Yr</t>
  </si>
  <si>
    <t>★  Yellow = base case  |  Rows = Exit Cap Rate (base: 6.0%)  |  Columns = Hold Period (base: 5 years)</t>
  </si>
  <si>
    <t xml:space="preserve">  NOTE: This table requires Data Tables or manual scenario inputs. Values shown as placeholders — link each cell to IRR calc using hold period and exit cap overrides.</t>
  </si>
  <si>
    <t xml:space="preserve">  SENSITIVITY: LEVERED IRR  —  LTV (%)  ×  Interest Rate  [Leverage Sensitivity]</t>
  </si>
  <si>
    <t xml:space="preserve">  LTV \ Int Rate</t>
  </si>
  <si>
    <t>★  Yellow = base case  |  Rows = LTV (base: 70%)  |  Columns = Interest Rate (base: 6.5%)</t>
  </si>
  <si>
    <t xml:space="preserve">  NOTE: Leverage sensitivity requires recalculating debt service and equity for each scenario. Link to Debt Schedule sheet overrides or build helper rows (similar to the existing helper block below).</t>
  </si>
  <si>
    <t>SRCH-20260225-002</t>
  </si>
  <si>
    <t>nikomoutop10@gmail.com</t>
  </si>
  <si>
    <t>Active</t>
  </si>
  <si>
    <t>1x1</t>
  </si>
  <si>
    <t>Apartment</t>
  </si>
  <si>
    <t>RAW RENT COMPS — COMPARABLE LISTINGS</t>
  </si>
  <si>
    <t>RENT ASSUMPTIONS — COMP-BASED UNIT MIX</t>
  </si>
  <si>
    <t>Auto-populated from Raw Comps tab. Aggregated by bed/bath type for use in Assumptions.</t>
  </si>
  <si>
    <t>Search ID</t>
  </si>
  <si>
    <t>Subject Lat</t>
  </si>
  <si>
    <t>Radius (mi)</t>
  </si>
  <si>
    <t>Email</t>
  </si>
  <si>
    <t>Subject Long</t>
  </si>
  <si>
    <t>Max Comps</t>
  </si>
  <si>
    <t>Status</t>
  </si>
  <si>
    <t>Filter Combos</t>
  </si>
  <si>
    <t>Selected Filter</t>
  </si>
  <si>
    <t>API-ingested comp data. Do not edit manually — refreshed automatically on import.</t>
  </si>
  <si>
    <t>#</t>
  </si>
  <si>
    <t>MULTIFAMILY ACQUISITION — INPUTS</t>
  </si>
  <si>
    <t>Unit Types</t>
  </si>
  <si>
    <t>Count</t>
  </si>
  <si>
    <t>1BR/2BA</t>
  </si>
  <si>
    <t>1BR/1BA</t>
  </si>
  <si>
    <t>Monthly Rent/Unit</t>
  </si>
  <si>
    <t>Total Monthly Rent</t>
  </si>
  <si>
    <t>Model Inputs</t>
  </si>
  <si>
    <t>Total Annual Rent</t>
  </si>
  <si>
    <t>Rent / SF</t>
  </si>
  <si>
    <t>Total SF</t>
  </si>
  <si>
    <t xml:space="preserve">  OpEx Ratio (% of EGI)</t>
  </si>
  <si>
    <t xml:space="preserve">  Operating Expenses</t>
  </si>
  <si>
    <t>Total Units</t>
  </si>
  <si>
    <t>PRICING SCENARIOS — CAP RATE-BASED ACQUISITION ANALYSIS</t>
  </si>
  <si>
    <t xml:space="preserve">  Min IRR Target (Levered)</t>
  </si>
  <si>
    <t xml:space="preserve">  Min Avg CoC Target</t>
  </si>
  <si>
    <t>Implied acquisition price = Year 1 NOI ÷ Entry Cap Rate. Returns linked live to model. Edit thresholds to flag scenarios.</t>
  </si>
  <si>
    <t>RETURN THRESHOLDS  (edit these)</t>
  </si>
  <si>
    <t>Year 1 NOI (live):</t>
  </si>
  <si>
    <t>Hold Period (live):</t>
  </si>
  <si>
    <t>Exit Cap (live):</t>
  </si>
  <si>
    <t>SCENARIO TABLE  —  Entry Cap Rate × Implied Price × Returns</t>
  </si>
  <si>
    <t>Entry Cap Rate</t>
  </si>
  <si>
    <t>Implied Acq Price</t>
  </si>
  <si>
    <t>LTV (live)</t>
  </si>
  <si>
    <t>Loan Amount</t>
  </si>
  <si>
    <t>Total Equity</t>
  </si>
  <si>
    <t>GP Equity</t>
  </si>
  <si>
    <t>LP Equity</t>
  </si>
  <si>
    <t>Year 1 NOI</t>
  </si>
  <si>
    <t>Year 1 CoC</t>
  </si>
  <si>
    <t>Avg CoC (hold)</t>
  </si>
  <si>
    <t>Levered IRR</t>
  </si>
  <si>
    <t>Exit Multiple</t>
  </si>
  <si>
    <t>CF0</t>
  </si>
  <si>
    <t>CF1</t>
  </si>
  <si>
    <t>CF2</t>
  </si>
  <si>
    <t>CF3</t>
  </si>
  <si>
    <t>CF4</t>
  </si>
  <si>
    <t>CF5</t>
  </si>
  <si>
    <t>SENSITIVITY: LEVERED IRR  —  Entry Cap Rate (rows) × Exit Cap Rate (columns)</t>
  </si>
  <si>
    <t>Entry Cap \ Exit Cap</t>
  </si>
  <si>
    <t>🟢 ≥ IRR target  🟡 within 3% below  🔴 below  |  Yellow column = live exit cap from Assumptions</t>
  </si>
  <si>
    <t>SENSITIVITY: AVG CASH-ON-CASH  —  Entry Cap Rate (rows) × Exit Cap Rate (columns)</t>
  </si>
  <si>
    <t>Entry Cap \ Rent Adj%</t>
  </si>
  <si>
    <t>LEGEND</t>
  </si>
  <si>
    <t>🟢 Meets target</t>
  </si>
  <si>
    <t>🟡 Within 3% / 2% of target</t>
  </si>
  <si>
    <t>🔴 Below target</t>
  </si>
  <si>
    <t>★ = Base case (current model price)</t>
  </si>
  <si>
    <t>Gold col = live exit cap / base rent adj (0%)</t>
  </si>
  <si>
    <t>Avg CoC over hold period. Exit cap doesn't affect CoC — columns instead show rent level adjustment (−15% to +15% vs comps). Base = 0%.</t>
  </si>
  <si>
    <t>MODEL NOTE:</t>
  </si>
  <si>
    <t>CAPITAL COSTS</t>
  </si>
  <si>
    <t xml:space="preserve">  Total Capital Cost Budget ($)</t>
  </si>
  <si>
    <t>Cost / Unit ($)</t>
  </si>
  <si>
    <t>Cost / SF ($)</t>
  </si>
  <si>
    <t xml:space="preserve">  Total</t>
  </si>
  <si>
    <t>SF % of Total</t>
  </si>
  <si>
    <t>Allocated Cost ($)</t>
  </si>
  <si>
    <t>40 Harrison St, Unit 32HI, New York, NY 10013</t>
  </si>
  <si>
    <t>40-Harrison-St,-Unit-32HI,-New-York,-NY-10013</t>
  </si>
  <si>
    <t>80 N Moore St, Unit 36LM, New York, NY 10013</t>
  </si>
  <si>
    <t>80-N-Moore-St,-Unit-36LM,-New-York,-NY-10013</t>
  </si>
  <si>
    <t>201-205 W 11th St, Unit F, New York, NY 10014</t>
  </si>
  <si>
    <t>201-205-W-11th-St,-Unit-F,-New-York,-NY-10014</t>
  </si>
  <si>
    <t>435 E 79th St, Unit 11, New York, NY 10075</t>
  </si>
  <si>
    <t>435-E-79th-St,-Unit-11,-New-York,-NY-10075</t>
  </si>
  <si>
    <t>120 W 86th St, Unit B, New York, NY 10024</t>
  </si>
  <si>
    <t>120-W-86th-St,-Unit-B,-New-York,-NY-10024</t>
  </si>
  <si>
    <t>rank</t>
  </si>
  <si>
    <t>distance_m</t>
  </si>
  <si>
    <t>distance_km</t>
  </si>
  <si>
    <t>filter_beds</t>
  </si>
  <si>
    <t>filter_baths</t>
  </si>
  <si>
    <t>type</t>
  </si>
  <si>
    <t>formattedAddress</t>
  </si>
  <si>
    <t>price</t>
  </si>
  <si>
    <t>bedrooms</t>
  </si>
  <si>
    <t>bathrooms</t>
  </si>
  <si>
    <t>squareFootage</t>
  </si>
  <si>
    <t>propertyType</t>
  </si>
  <si>
    <t>listing_status</t>
  </si>
  <si>
    <t>daysOnMarket</t>
  </si>
  <si>
    <t>latitude</t>
  </si>
  <si>
    <t>longitude</t>
  </si>
  <si>
    <t>url</t>
  </si>
  <si>
    <t>id</t>
  </si>
  <si>
    <t>Purchase Price</t>
  </si>
  <si>
    <t>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</si>
</sst>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&quot;$&quot;#,##0.00"/>
    <numFmt numFmtId="167" formatCode="&quot;$&quot;#,##0;\(&quot;$&quot;#,##0\);\-"/>
    <numFmt numFmtId="168" formatCode="0.00\x"/>
    <numFmt numFmtId="169" formatCode="0.0000%"/>
    <numFmt numFmtId="170" formatCode="&quot;$&quot;#,##0.0000"/>
    <numFmt numFmtId="171" formatCode="&quot;$&quot;#,##0;\(&quot;$&quot;#,##0\);&quot;-&quot;"/>
    <numFmt numFmtId="172" formatCode="#,##0\ &quot;SF&quot;"/>
    <numFmt numFmtId="173" formatCode="\(&quot;$&quot;#,##0\)"/>
    <numFmt numFmtId="174" formatCode="0.00&quot;x&quot;"/>
    <numFmt numFmtId="175" formatCode="&quot;$&quot;#,##0.00000"/>
    <numFmt numFmtId="176" formatCode="&quot;$&quot;#,##0.000"/>
  </numFmts>
  <fonts count="5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9"/>
      <color rgb="FF88888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55CC"/>
      <name val="Calibri"/>
      <family val="2"/>
      <scheme val="minor"/>
    </font>
    <font>
      <b/>
      <sz val="10"/>
      <color rgb="FF333333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rgb="FF888888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sz val="10"/>
      <color rgb="FF888888"/>
      <name val="Calibri"/>
      <family val="2"/>
      <scheme val="minor"/>
    </font>
    <font>
      <i/>
      <sz val="8"/>
      <color rgb="FFCC66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1F4E7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9"/>
      <color rgb="FF2C3E50"/>
      <name val="Calibri"/>
      <family val="2"/>
      <scheme val="minor"/>
    </font>
    <font>
      <b/>
      <sz val="9"/>
      <color rgb="FF1E6B35"/>
      <name val="Calibri"/>
      <family val="2"/>
      <scheme val="minor"/>
    </font>
    <font>
      <b/>
      <sz val="9"/>
      <color rgb="FF1F4E79"/>
      <name val="Calibri"/>
      <family val="2"/>
      <scheme val="minor"/>
    </font>
    <font>
      <sz val="10"/>
      <color rgb="FF555555"/>
      <name val="Calibri"/>
      <family val="2"/>
      <scheme val="minor"/>
    </font>
    <font>
      <sz val="10"/>
      <color rgb="FF222222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2"/>
      <color rgb="FFFF9900"/>
      <name val="Calibri"/>
      <family val="2"/>
      <scheme val="minor"/>
    </font>
    <font>
      <b/>
      <sz val="12"/>
      <color rgb="FF155724"/>
      <name val="Calibri"/>
      <family val="2"/>
      <scheme val="minor"/>
    </font>
    <font>
      <b/>
      <sz val="12"/>
      <color rgb="FF856404"/>
      <name val="Calibri"/>
      <family val="2"/>
      <scheme val="minor"/>
    </font>
    <font>
      <b/>
      <sz val="12"/>
      <color rgb="FF721C24"/>
      <name val="Calibri"/>
      <family val="2"/>
      <scheme val="minor"/>
    </font>
    <font>
      <sz val="12"/>
      <color rgb="FF7F6000"/>
      <name val="Calibri"/>
      <family val="2"/>
      <scheme val="minor"/>
    </font>
    <font>
      <b/>
      <sz val="8"/>
      <color rgb="FFCCCCCC"/>
      <name val="Calibri"/>
      <family val="2"/>
      <scheme val="minor"/>
    </font>
    <font>
      <sz val="8"/>
      <color rgb="FFCCCCCC"/>
      <name val="Calibri"/>
      <family val="2"/>
      <scheme val="minor"/>
    </font>
    <font>
      <b/>
      <sz val="9"/>
      <color rgb="FFFF9900"/>
      <name val="Calibri"/>
      <family val="2"/>
      <scheme val="minor"/>
    </font>
    <font>
      <b/>
      <sz val="10"/>
      <color rgb="FF0055CC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F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5EDD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3E6CB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6E4F0"/>
        <bgColor indexed="64"/>
      </patternFill>
    </fill>
  </fills>
  <borders count="99">
    <border>
      <left/>
      <right/>
      <top/>
      <bottom/>
      <diagonal/>
    </border>
    <border>
      <left/>
      <right/>
      <top style="thin">
        <color rgb="FFBFBFBF"/>
      </top>
      <bottom style="thin">
        <color rgb="FF1F4E7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E8E8E8"/>
      </bottom>
      <diagonal/>
    </border>
    <border>
      <left/>
      <right style="thin">
        <color rgb="FFCCCCCC"/>
      </right>
      <top style="thin">
        <color rgb="FFCCCCCC"/>
      </top>
      <bottom style="thin">
        <color rgb="FFE8E8E8"/>
      </bottom>
      <diagonal/>
    </border>
    <border>
      <left style="thin">
        <color rgb="FFCCCCCC"/>
      </left>
      <right/>
      <top style="thin">
        <color rgb="FFE8E8E8"/>
      </top>
      <bottom style="thin">
        <color rgb="FFE8E8E8"/>
      </bottom>
      <diagonal/>
    </border>
    <border>
      <left/>
      <right style="thin">
        <color rgb="FFCCCCCC"/>
      </right>
      <top style="thin">
        <color rgb="FFE8E8E8"/>
      </top>
      <bottom style="thin">
        <color rgb="FFE8E8E8"/>
      </bottom>
      <diagonal/>
    </border>
    <border>
      <left style="thin">
        <color rgb="FFCCCCCC"/>
      </left>
      <right/>
      <top style="thin">
        <color rgb="FFE8E8E8"/>
      </top>
      <bottom style="thin">
        <color rgb="FFCCCCCC"/>
      </bottom>
      <diagonal/>
    </border>
    <border>
      <left/>
      <right style="thin">
        <color rgb="FFCCCCCC"/>
      </right>
      <top style="thin">
        <color rgb="FFE8E8E8"/>
      </top>
      <bottom style="thin">
        <color rgb="FFCCCCC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 style="thin">
        <color rgb="FFAAAAAA"/>
      </bottom>
      <diagonal/>
    </border>
    <border>
      <left/>
      <right style="medium">
        <color rgb="FF1F4E79"/>
      </right>
      <top style="medium">
        <color rgb="FF1F4E79"/>
      </top>
      <bottom style="thin">
        <color rgb="FFAAAAAA"/>
      </bottom>
      <diagonal/>
    </border>
    <border>
      <left style="medium">
        <color rgb="FF1F4E79"/>
      </left>
      <right/>
      <top style="thin">
        <color rgb="FFAAAAAA"/>
      </top>
      <bottom style="thin">
        <color rgb="FFAAAAAA"/>
      </bottom>
      <diagonal/>
    </border>
    <border>
      <left/>
      <right style="medium">
        <color rgb="FF1F4E79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/>
      <top style="thin">
        <color rgb="FFAAAAAA"/>
      </top>
      <bottom style="medium">
        <color rgb="FF1F4E79"/>
      </bottom>
      <diagonal/>
    </border>
    <border>
      <left/>
      <right style="medium">
        <color rgb="FF1F4E79"/>
      </right>
      <top style="thin">
        <color rgb="FFAAAAAA"/>
      </top>
      <bottom style="medium">
        <color rgb="FF1F4E79"/>
      </bottom>
      <diagonal/>
    </border>
    <border>
      <left style="medium">
        <color rgb="FF1F4E79"/>
      </left>
      <right style="thin">
        <color rgb="FFCCCCCC"/>
      </right>
      <top style="medium">
        <color rgb="FF1F4E7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4E79"/>
      </top>
      <bottom style="thin">
        <color rgb="FFCCCCCC"/>
      </bottom>
      <diagonal/>
    </border>
    <border>
      <left style="thin">
        <color rgb="FFCCCCCC"/>
      </left>
      <right style="medium">
        <color rgb="FF1F4E79"/>
      </right>
      <top style="medium">
        <color rgb="FF1F4E79"/>
      </top>
      <bottom style="thin">
        <color rgb="FFCCCCCC"/>
      </bottom>
      <diagonal/>
    </border>
    <border>
      <left style="medium">
        <color rgb="FF1F4E7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1F4E79"/>
      </right>
      <top style="thin">
        <color rgb="FFCCCCCC"/>
      </top>
      <bottom style="thin">
        <color rgb="FFCCCCCC"/>
      </bottom>
      <diagonal/>
    </border>
    <border>
      <left style="medium">
        <color rgb="FF1F4E79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 style="thin">
        <color rgb="FFCCCCCC"/>
      </left>
      <right style="medium">
        <color rgb="FF1F4E79"/>
      </right>
      <top style="thin">
        <color rgb="FFCCCCCC"/>
      </top>
      <bottom style="medium">
        <color rgb="FF1F4E7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1F4E79"/>
      </top>
      <bottom/>
      <diagonal/>
    </border>
    <border>
      <left style="thin">
        <color rgb="FF1F4E79"/>
      </left>
      <right/>
      <top style="thin">
        <color rgb="FF1F4E79"/>
      </top>
      <bottom/>
      <diagonal/>
    </border>
    <border>
      <left/>
      <right style="thin">
        <color rgb="FF1F4E79"/>
      </right>
      <top style="thin">
        <color rgb="FF1F4E79"/>
      </top>
      <bottom/>
      <diagonal/>
    </border>
    <border>
      <left style="thin">
        <color rgb="FF1F4E79"/>
      </left>
      <right/>
      <top style="thin">
        <color rgb="FFFFFFFF"/>
      </top>
      <bottom style="thin">
        <color rgb="FFC8D6E5"/>
      </bottom>
      <diagonal/>
    </border>
    <border>
      <left/>
      <right/>
      <top style="thin">
        <color rgb="FFFFFFFF"/>
      </top>
      <bottom style="thin">
        <color rgb="FFC8D6E5"/>
      </bottom>
      <diagonal/>
    </border>
    <border>
      <left/>
      <right style="thin">
        <color rgb="FF1F4E79"/>
      </right>
      <top style="thin">
        <color rgb="FFFFFFFF"/>
      </top>
      <bottom style="thin">
        <color rgb="FFC8D6E5"/>
      </bottom>
      <diagonal/>
    </border>
    <border>
      <left style="thin">
        <color rgb="FF1F4E79"/>
      </left>
      <right/>
      <top style="thin">
        <color rgb="FFC8D6E5"/>
      </top>
      <bottom style="thin">
        <color rgb="FFC8D6E5"/>
      </bottom>
      <diagonal/>
    </border>
    <border>
      <left/>
      <right/>
      <top style="thin">
        <color rgb="FFC8D6E5"/>
      </top>
      <bottom style="thin">
        <color rgb="FFC8D6E5"/>
      </bottom>
      <diagonal/>
    </border>
    <border>
      <left/>
      <right style="thin">
        <color rgb="FF1F4E79"/>
      </right>
      <top style="thin">
        <color rgb="FFC8D6E5"/>
      </top>
      <bottom style="thin">
        <color rgb="FFC8D6E5"/>
      </bottom>
      <diagonal/>
    </border>
    <border>
      <left style="thin">
        <color rgb="FF1F4E79"/>
      </left>
      <right/>
      <top style="thin">
        <color rgb="FFC8D6E5"/>
      </top>
      <bottom style="thin">
        <color rgb="FF1F4E79"/>
      </bottom>
      <diagonal/>
    </border>
    <border>
      <left/>
      <right/>
      <top style="thin">
        <color rgb="FFC8D6E5"/>
      </top>
      <bottom style="thin">
        <color rgb="FF1F4E79"/>
      </bottom>
      <diagonal/>
    </border>
    <border>
      <left/>
      <right style="thin">
        <color rgb="FF1F4E79"/>
      </right>
      <top style="thin">
        <color rgb="FFC8D6E5"/>
      </top>
      <bottom style="thin">
        <color rgb="FF1F4E79"/>
      </bottom>
      <diagonal/>
    </border>
    <border>
      <left/>
      <right style="thin">
        <color rgb="FFC8D6E5"/>
      </right>
      <top style="thin">
        <color rgb="FFFFFFFF"/>
      </top>
      <bottom style="thin">
        <color rgb="FFC8D6E5"/>
      </bottom>
      <diagonal/>
    </border>
    <border>
      <left/>
      <right style="thin">
        <color rgb="FFC8D6E5"/>
      </right>
      <top style="thin">
        <color rgb="FFC8D6E5"/>
      </top>
      <bottom style="thin">
        <color rgb="FFC8D6E5"/>
      </bottom>
      <diagonal/>
    </border>
    <border>
      <left/>
      <right style="thin">
        <color rgb="FFC8D6E5"/>
      </right>
      <top style="thin">
        <color rgb="FFC8D6E5"/>
      </top>
      <bottom style="thin">
        <color rgb="FF1F4E79"/>
      </bottom>
      <diagonal/>
    </border>
    <border>
      <left style="thin">
        <color rgb="FF1F4E79"/>
      </left>
      <right style="thin">
        <color rgb="FF5B9BD5"/>
      </right>
      <top style="thin">
        <color rgb="FF1F4E79"/>
      </top>
      <bottom/>
      <diagonal/>
    </border>
    <border>
      <left style="thin">
        <color rgb="FF5B9BD5"/>
      </left>
      <right style="thin">
        <color rgb="FF5B9BD5"/>
      </right>
      <top style="thin">
        <color rgb="FF1F4E79"/>
      </top>
      <bottom/>
      <diagonal/>
    </border>
    <border>
      <left style="thin">
        <color rgb="FF5B9BD5"/>
      </left>
      <right style="thin">
        <color rgb="FF1F4E79"/>
      </right>
      <top style="thin">
        <color rgb="FF1F4E79"/>
      </top>
      <bottom/>
      <diagonal/>
    </border>
    <border>
      <left style="thin">
        <color rgb="FF1F4E79"/>
      </left>
      <right style="thin">
        <color rgb="FFC8D6E5"/>
      </right>
      <top style="thin">
        <color rgb="FF1F4E79"/>
      </top>
      <bottom/>
      <diagonal/>
    </border>
    <border>
      <left style="thin">
        <color rgb="FFC8D6E5"/>
      </left>
      <right style="thin">
        <color rgb="FFC8D6E5"/>
      </right>
      <top style="thin">
        <color rgb="FF1F4E79"/>
      </top>
      <bottom/>
      <diagonal/>
    </border>
    <border>
      <left style="thin">
        <color rgb="FFC8D6E5"/>
      </left>
      <right style="thin">
        <color rgb="FF1F4E79"/>
      </right>
      <top style="thin">
        <color rgb="FF1F4E79"/>
      </top>
      <bottom/>
      <diagonal/>
    </border>
    <border>
      <left style="thin">
        <color rgb="FF1F4E79"/>
      </left>
      <right style="thin">
        <color rgb="FFC8D6E5"/>
      </right>
      <top style="thin">
        <color rgb="FFC8D6E5"/>
      </top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/>
      <diagonal/>
    </border>
    <border>
      <left style="thin">
        <color rgb="FFC8D6E5"/>
      </left>
      <right style="thin">
        <color rgb="FF1F4E79"/>
      </right>
      <top style="thin">
        <color rgb="FFC8D6E5"/>
      </top>
      <bottom/>
      <diagonal/>
    </border>
    <border>
      <left style="thin">
        <color rgb="FF1F4E79"/>
      </left>
      <right style="thin">
        <color rgb="FFC8D6E5"/>
      </right>
      <top style="thin">
        <color rgb="FFC8D6E5"/>
      </top>
      <bottom style="thin">
        <color rgb="FF1F4E79"/>
      </bottom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1F4E79"/>
      </bottom>
      <diagonal/>
    </border>
    <border>
      <left style="thin">
        <color rgb="FFC8D6E5"/>
      </left>
      <right style="thin">
        <color rgb="FF1F4E79"/>
      </right>
      <top style="thin">
        <color rgb="FFC8D6E5"/>
      </top>
      <bottom style="thin">
        <color rgb="FF1F4E79"/>
      </bottom>
      <diagonal/>
    </border>
    <border>
      <left style="thin">
        <color rgb="FF1F4E79"/>
      </left>
      <right style="thin">
        <color rgb="FFD0DCE8"/>
      </right>
      <top style="thin">
        <color rgb="FF1F4E79"/>
      </top>
      <bottom/>
      <diagonal/>
    </border>
    <border>
      <left style="thin">
        <color rgb="FFD0DCE8"/>
      </left>
      <right style="thin">
        <color rgb="FFD0DCE8"/>
      </right>
      <top style="thin">
        <color rgb="FF1F4E79"/>
      </top>
      <bottom/>
      <diagonal/>
    </border>
    <border>
      <left style="thin">
        <color rgb="FFD0DCE8"/>
      </left>
      <right style="thin">
        <color rgb="FF1F4E79"/>
      </right>
      <top style="thin">
        <color rgb="FF1F4E79"/>
      </top>
      <bottom/>
      <diagonal/>
    </border>
    <border>
      <left style="thin">
        <color rgb="FF1F4E79"/>
      </left>
      <right style="thin">
        <color rgb="FFD0DCE8"/>
      </right>
      <top style="thin">
        <color rgb="FFD0DCE8"/>
      </top>
      <bottom/>
      <diagonal/>
    </border>
    <border>
      <left style="thin">
        <color rgb="FFD0DCE8"/>
      </left>
      <right style="thin">
        <color rgb="FFD0DCE8"/>
      </right>
      <top style="thin">
        <color rgb="FFD0DCE8"/>
      </top>
      <bottom/>
      <diagonal/>
    </border>
    <border>
      <left style="thin">
        <color rgb="FFD0DCE8"/>
      </left>
      <right style="thin">
        <color rgb="FF1F4E79"/>
      </right>
      <top style="thin">
        <color rgb="FFD0DCE8"/>
      </top>
      <bottom/>
      <diagonal/>
    </border>
    <border>
      <left style="thin">
        <color rgb="FF1F4E79"/>
      </left>
      <right style="thin">
        <color rgb="FFD0DCE8"/>
      </right>
      <top style="thin">
        <color rgb="FFD0DCE8"/>
      </top>
      <bottom style="thin">
        <color rgb="FF1F4E79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1F4E79"/>
      </bottom>
      <diagonal/>
    </border>
    <border>
      <left style="thin">
        <color rgb="FFD0DCE8"/>
      </left>
      <right style="thin">
        <color rgb="FF1F4E79"/>
      </right>
      <top style="thin">
        <color rgb="FFD0DCE8"/>
      </top>
      <bottom style="thin">
        <color rgb="FF1F4E79"/>
      </bottom>
      <diagonal/>
    </border>
    <border>
      <left/>
      <right/>
      <top style="thin">
        <color rgb="FF006100"/>
      </top>
      <bottom/>
      <diagonal/>
    </border>
    <border>
      <left style="thin">
        <color rgb="FF006100"/>
      </left>
      <right style="thin">
        <color rgb="FF70AD47"/>
      </right>
      <top style="thin">
        <color rgb="FF006100"/>
      </top>
      <bottom style="thin">
        <color rgb="FF006100"/>
      </bottom>
      <diagonal/>
    </border>
    <border>
      <left style="thin">
        <color rgb="FF70AD47"/>
      </left>
      <right style="thin">
        <color rgb="FF70AD47"/>
      </right>
      <top style="thin">
        <color rgb="FF006100"/>
      </top>
      <bottom style="thin">
        <color rgb="FF006100"/>
      </bottom>
      <diagonal/>
    </border>
    <border>
      <left style="thin">
        <color rgb="FF70AD47"/>
      </left>
      <right style="thin">
        <color rgb="FF006100"/>
      </right>
      <top style="thin">
        <color rgb="FF006100"/>
      </top>
      <bottom style="thin">
        <color rgb="FF006100"/>
      </bottom>
      <diagonal/>
    </border>
    <border>
      <left/>
      <right/>
      <top style="thin">
        <color rgb="FFD8E2EE"/>
      </top>
      <bottom/>
      <diagonal/>
    </border>
    <border>
      <left/>
      <right/>
      <top style="thin">
        <color rgb="FFD8E2EE"/>
      </top>
      <bottom style="thin">
        <color rgb="FFD8E2EE"/>
      </bottom>
      <diagonal/>
    </border>
    <border>
      <left/>
      <right/>
      <top/>
      <bottom style="thin">
        <color rgb="FF006100"/>
      </bottom>
      <diagonal/>
    </border>
    <border>
      <left style="thin">
        <color rgb="FF5B9BD5"/>
      </left>
      <right style="thin">
        <color rgb="FF5B9BD5"/>
      </right>
      <top style="thin">
        <color indexed="64"/>
      </top>
      <bottom style="thin">
        <color rgb="FF1F4E79"/>
      </bottom>
      <diagonal/>
    </border>
    <border>
      <left style="thin">
        <color indexed="64"/>
      </left>
      <right style="thin">
        <color rgb="FF5B9BD5"/>
      </right>
      <top style="thin">
        <color indexed="64"/>
      </top>
      <bottom style="thin">
        <color rgb="FF1F4E79"/>
      </bottom>
      <diagonal/>
    </border>
    <border>
      <left style="thin">
        <color rgb="FF5B9BD5"/>
      </left>
      <right style="thin">
        <color indexed="64"/>
      </right>
      <top style="thin">
        <color indexed="64"/>
      </top>
      <bottom style="thin">
        <color rgb="FF1F4E79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5B9BD5"/>
      </left>
      <right/>
      <top style="thin">
        <color indexed="64"/>
      </top>
      <bottom style="thin">
        <color rgb="FF1F4E79"/>
      </bottom>
      <diagonal/>
    </border>
    <border>
      <left style="thin">
        <color rgb="FFD0DCE8"/>
      </left>
      <right/>
      <top style="thin">
        <color rgb="FF1F4E79"/>
      </top>
      <bottom/>
      <diagonal/>
    </border>
    <border>
      <left style="thin">
        <color rgb="FFD0DCE8"/>
      </left>
      <right/>
      <top style="thin">
        <color rgb="FFD0DCE8"/>
      </top>
      <bottom/>
      <diagonal/>
    </border>
    <border>
      <left style="thin">
        <color rgb="FFD0DCE8"/>
      </left>
      <right/>
      <top style="thin">
        <color rgb="FFD0DCE8"/>
      </top>
      <bottom style="thin">
        <color rgb="FF1F4E79"/>
      </bottom>
      <diagonal/>
    </border>
  </borders>
  <cellStyleXfs count="2">
    <xf numFmtId="0" fontId="0" fillId="0" borderId="0"/>
    <xf numFmtId="44" fontId="28" fillId="0" borderId="0" applyFont="0" applyFill="0" applyBorder="0" applyAlignment="0" applyProtection="0"/>
  </cellStyleXfs>
  <cellXfs count="418">
    <xf numFmtId="0" fontId="0" fillId="0" borderId="0" xfId="0"/>
    <xf numFmtId="0" fontId="0" fillId="3" borderId="0" xfId="0" applyFill="1"/>
    <xf numFmtId="0" fontId="0" fillId="5" borderId="0" xfId="0" applyFill="1"/>
    <xf numFmtId="0" fontId="2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12" fillId="2" borderId="0" xfId="0" applyFont="1" applyFill="1"/>
    <xf numFmtId="0" fontId="12" fillId="6" borderId="0" xfId="0" applyFont="1" applyFill="1" applyAlignment="1">
      <alignment horizontal="center"/>
    </xf>
    <xf numFmtId="0" fontId="9" fillId="3" borderId="0" xfId="0" applyFont="1" applyFill="1"/>
    <xf numFmtId="0" fontId="13" fillId="3" borderId="0" xfId="0" applyFont="1" applyFill="1"/>
    <xf numFmtId="0" fontId="9" fillId="7" borderId="0" xfId="0" applyFont="1" applyFill="1"/>
    <xf numFmtId="0" fontId="15" fillId="5" borderId="0" xfId="0" applyFont="1" applyFill="1"/>
    <xf numFmtId="0" fontId="10" fillId="3" borderId="0" xfId="0" applyFont="1" applyFill="1"/>
    <xf numFmtId="164" fontId="15" fillId="5" borderId="0" xfId="0" applyNumberFormat="1" applyFont="1" applyFill="1"/>
    <xf numFmtId="164" fontId="16" fillId="5" borderId="0" xfId="0" applyNumberFormat="1" applyFont="1" applyFill="1"/>
    <xf numFmtId="164" fontId="16" fillId="3" borderId="0" xfId="0" applyNumberFormat="1" applyFont="1" applyFill="1"/>
    <xf numFmtId="0" fontId="12" fillId="6" borderId="6" xfId="0" applyFont="1" applyFill="1" applyBorder="1" applyAlignment="1">
      <alignment horizontal="center"/>
    </xf>
    <xf numFmtId="0" fontId="13" fillId="3" borderId="8" xfId="0" applyFont="1" applyFill="1" applyBorder="1"/>
    <xf numFmtId="3" fontId="13" fillId="3" borderId="8" xfId="0" applyNumberFormat="1" applyFont="1" applyFill="1" applyBorder="1" applyAlignment="1">
      <alignment horizontal="center"/>
    </xf>
    <xf numFmtId="164" fontId="13" fillId="3" borderId="8" xfId="0" applyNumberFormat="1" applyFont="1" applyFill="1" applyBorder="1" applyAlignment="1">
      <alignment horizontal="center"/>
    </xf>
    <xf numFmtId="0" fontId="9" fillId="7" borderId="2" xfId="0" applyFont="1" applyFill="1" applyBorder="1"/>
    <xf numFmtId="3" fontId="9" fillId="7" borderId="4" xfId="0" applyNumberFormat="1" applyFont="1" applyFill="1" applyBorder="1"/>
    <xf numFmtId="0" fontId="10" fillId="7" borderId="2" xfId="0" applyFont="1" applyFill="1" applyBorder="1"/>
    <xf numFmtId="164" fontId="13" fillId="5" borderId="0" xfId="0" applyNumberFormat="1" applyFont="1" applyFill="1"/>
    <xf numFmtId="165" fontId="15" fillId="5" borderId="0" xfId="0" applyNumberFormat="1" applyFont="1" applyFill="1" applyAlignment="1">
      <alignment horizontal="center"/>
    </xf>
    <xf numFmtId="165" fontId="15" fillId="5" borderId="0" xfId="0" applyNumberFormat="1" applyFont="1" applyFill="1"/>
    <xf numFmtId="0" fontId="18" fillId="5" borderId="0" xfId="0" applyFont="1" applyFill="1"/>
    <xf numFmtId="0" fontId="19" fillId="5" borderId="0" xfId="0" applyFont="1" applyFill="1"/>
    <xf numFmtId="0" fontId="0" fillId="8" borderId="0" xfId="0" applyFill="1"/>
    <xf numFmtId="0" fontId="20" fillId="8" borderId="0" xfId="0" applyFont="1" applyFill="1"/>
    <xf numFmtId="3" fontId="21" fillId="8" borderId="0" xfId="0" applyNumberFormat="1" applyFont="1" applyFill="1"/>
    <xf numFmtId="0" fontId="9" fillId="8" borderId="0" xfId="0" applyFont="1" applyFill="1"/>
    <xf numFmtId="0" fontId="20" fillId="5" borderId="0" xfId="0" applyFont="1" applyFill="1"/>
    <xf numFmtId="10" fontId="21" fillId="5" borderId="0" xfId="0" applyNumberFormat="1" applyFont="1" applyFill="1"/>
    <xf numFmtId="165" fontId="21" fillId="8" borderId="0" xfId="0" applyNumberFormat="1" applyFont="1" applyFill="1"/>
    <xf numFmtId="164" fontId="21" fillId="5" borderId="0" xfId="0" applyNumberFormat="1" applyFont="1" applyFill="1"/>
    <xf numFmtId="164" fontId="21" fillId="8" borderId="0" xfId="0" applyNumberFormat="1" applyFont="1" applyFill="1"/>
    <xf numFmtId="165" fontId="21" fillId="5" borderId="0" xfId="0" applyNumberFormat="1" applyFont="1" applyFill="1"/>
    <xf numFmtId="0" fontId="20" fillId="8" borderId="11" xfId="0" applyFont="1" applyFill="1" applyBorder="1"/>
    <xf numFmtId="3" fontId="21" fillId="8" borderId="12" xfId="0" applyNumberFormat="1" applyFont="1" applyFill="1" applyBorder="1"/>
    <xf numFmtId="0" fontId="20" fillId="5" borderId="13" xfId="0" applyFont="1" applyFill="1" applyBorder="1"/>
    <xf numFmtId="10" fontId="21" fillId="5" borderId="14" xfId="0" applyNumberFormat="1" applyFont="1" applyFill="1" applyBorder="1"/>
    <xf numFmtId="0" fontId="20" fillId="8" borderId="13" xfId="0" applyFont="1" applyFill="1" applyBorder="1"/>
    <xf numFmtId="165" fontId="21" fillId="8" borderId="14" xfId="0" applyNumberFormat="1" applyFont="1" applyFill="1" applyBorder="1"/>
    <xf numFmtId="164" fontId="21" fillId="5" borderId="14" xfId="0" applyNumberFormat="1" applyFont="1" applyFill="1" applyBorder="1"/>
    <xf numFmtId="164" fontId="21" fillId="8" borderId="14" xfId="0" applyNumberFormat="1" applyFont="1" applyFill="1" applyBorder="1"/>
    <xf numFmtId="165" fontId="21" fillId="5" borderId="14" xfId="0" applyNumberFormat="1" applyFont="1" applyFill="1" applyBorder="1"/>
    <xf numFmtId="0" fontId="20" fillId="8" borderId="15" xfId="0" applyFont="1" applyFill="1" applyBorder="1"/>
    <xf numFmtId="3" fontId="21" fillId="8" borderId="16" xfId="0" applyNumberFormat="1" applyFont="1" applyFill="1" applyBorder="1"/>
    <xf numFmtId="164" fontId="15" fillId="8" borderId="0" xfId="0" applyNumberFormat="1" applyFont="1" applyFill="1"/>
    <xf numFmtId="166" fontId="0" fillId="5" borderId="0" xfId="0" applyNumberFormat="1" applyFill="1"/>
    <xf numFmtId="0" fontId="22" fillId="7" borderId="0" xfId="0" applyFont="1" applyFill="1"/>
    <xf numFmtId="164" fontId="15" fillId="8" borderId="12" xfId="0" applyNumberFormat="1" applyFont="1" applyFill="1" applyBorder="1"/>
    <xf numFmtId="164" fontId="15" fillId="5" borderId="14" xfId="0" applyNumberFormat="1" applyFont="1" applyFill="1" applyBorder="1"/>
    <xf numFmtId="173" fontId="15" fillId="8" borderId="14" xfId="0" applyNumberFormat="1" applyFont="1" applyFill="1" applyBorder="1"/>
    <xf numFmtId="0" fontId="22" fillId="7" borderId="13" xfId="0" applyFont="1" applyFill="1" applyBorder="1"/>
    <xf numFmtId="164" fontId="13" fillId="7" borderId="14" xfId="0" applyNumberFormat="1" applyFont="1" applyFill="1" applyBorder="1"/>
    <xf numFmtId="164" fontId="15" fillId="8" borderId="14" xfId="0" applyNumberFormat="1" applyFont="1" applyFill="1" applyBorder="1"/>
    <xf numFmtId="0" fontId="22" fillId="7" borderId="15" xfId="0" applyFont="1" applyFill="1" applyBorder="1"/>
    <xf numFmtId="164" fontId="13" fillId="7" borderId="16" xfId="0" applyNumberFormat="1" applyFont="1" applyFill="1" applyBorder="1"/>
    <xf numFmtId="0" fontId="12" fillId="9" borderId="0" xfId="0" applyFont="1" applyFill="1"/>
    <xf numFmtId="0" fontId="12" fillId="9" borderId="0" xfId="0" applyFont="1" applyFill="1" applyAlignment="1">
      <alignment horizontal="center"/>
    </xf>
    <xf numFmtId="0" fontId="12" fillId="9" borderId="0" xfId="0" applyFont="1" applyFill="1" applyAlignment="1">
      <alignment horizontal="left"/>
    </xf>
    <xf numFmtId="0" fontId="12" fillId="10" borderId="0" xfId="0" applyFont="1" applyFill="1" applyAlignment="1">
      <alignment horizontal="center"/>
    </xf>
    <xf numFmtId="0" fontId="12" fillId="10" borderId="0" xfId="0" applyFont="1" applyFill="1" applyAlignment="1">
      <alignment horizontal="left"/>
    </xf>
    <xf numFmtId="167" fontId="12" fillId="10" borderId="0" xfId="0" applyNumberFormat="1" applyFont="1" applyFill="1" applyAlignment="1">
      <alignment horizontal="center"/>
    </xf>
    <xf numFmtId="0" fontId="23" fillId="11" borderId="0" xfId="0" applyFont="1" applyFill="1" applyAlignment="1">
      <alignment horizontal="center"/>
    </xf>
    <xf numFmtId="0" fontId="23" fillId="11" borderId="0" xfId="0" applyFont="1" applyFill="1" applyAlignment="1">
      <alignment horizontal="left"/>
    </xf>
    <xf numFmtId="164" fontId="23" fillId="11" borderId="0" xfId="0" applyNumberFormat="1" applyFont="1" applyFill="1" applyAlignment="1">
      <alignment horizontal="center"/>
    </xf>
    <xf numFmtId="0" fontId="1" fillId="3" borderId="0" xfId="0" applyFont="1" applyFill="1"/>
    <xf numFmtId="0" fontId="1" fillId="8" borderId="0" xfId="0" applyFont="1" applyFill="1"/>
    <xf numFmtId="0" fontId="1" fillId="5" borderId="0" xfId="0" applyFont="1" applyFill="1"/>
    <xf numFmtId="0" fontId="8" fillId="3" borderId="0" xfId="0" applyFont="1" applyFill="1"/>
    <xf numFmtId="174" fontId="6" fillId="3" borderId="0" xfId="0" applyNumberFormat="1" applyFont="1" applyFill="1"/>
    <xf numFmtId="0" fontId="8" fillId="3" borderId="18" xfId="0" applyFont="1" applyFill="1" applyBorder="1"/>
    <xf numFmtId="10" fontId="6" fillId="3" borderId="19" xfId="0" applyNumberFormat="1" applyFont="1" applyFill="1" applyBorder="1"/>
    <xf numFmtId="0" fontId="8" fillId="3" borderId="20" xfId="0" applyFont="1" applyFill="1" applyBorder="1"/>
    <xf numFmtId="174" fontId="6" fillId="3" borderId="21" xfId="0" applyNumberFormat="1" applyFont="1" applyFill="1" applyBorder="1"/>
    <xf numFmtId="0" fontId="8" fillId="8" borderId="20" xfId="0" applyFont="1" applyFill="1" applyBorder="1"/>
    <xf numFmtId="165" fontId="6" fillId="8" borderId="21" xfId="0" applyNumberFormat="1" applyFont="1" applyFill="1" applyBorder="1"/>
    <xf numFmtId="0" fontId="8" fillId="5" borderId="22" xfId="0" applyFont="1" applyFill="1" applyBorder="1"/>
    <xf numFmtId="164" fontId="6" fillId="5" borderId="23" xfId="0" applyNumberFormat="1" applyFont="1" applyFill="1" applyBorder="1"/>
    <xf numFmtId="0" fontId="8" fillId="3" borderId="22" xfId="0" applyFont="1" applyFill="1" applyBorder="1"/>
    <xf numFmtId="174" fontId="6" fillId="3" borderId="23" xfId="0" applyNumberFormat="1" applyFont="1" applyFill="1" applyBorder="1"/>
    <xf numFmtId="175" fontId="0" fillId="5" borderId="0" xfId="0" applyNumberFormat="1" applyFill="1"/>
    <xf numFmtId="170" fontId="0" fillId="5" borderId="0" xfId="0" applyNumberFormat="1" applyFill="1"/>
    <xf numFmtId="176" fontId="0" fillId="5" borderId="0" xfId="0" applyNumberFormat="1" applyFill="1"/>
    <xf numFmtId="0" fontId="5" fillId="9" borderId="24" xfId="0" applyFont="1" applyFill="1" applyBorder="1"/>
    <xf numFmtId="165" fontId="5" fillId="9" borderId="25" xfId="0" applyNumberFormat="1" applyFont="1" applyFill="1" applyBorder="1" applyAlignment="1">
      <alignment horizontal="center"/>
    </xf>
    <xf numFmtId="165" fontId="5" fillId="9" borderId="26" xfId="0" applyNumberFormat="1" applyFont="1" applyFill="1" applyBorder="1" applyAlignment="1">
      <alignment horizontal="center"/>
    </xf>
    <xf numFmtId="165" fontId="15" fillId="5" borderId="10" xfId="0" applyNumberFormat="1" applyFont="1" applyFill="1" applyBorder="1" applyAlignment="1">
      <alignment horizontal="center"/>
    </xf>
    <xf numFmtId="165" fontId="15" fillId="5" borderId="28" xfId="0" applyNumberFormat="1" applyFont="1" applyFill="1" applyBorder="1" applyAlignment="1">
      <alignment horizontal="center"/>
    </xf>
    <xf numFmtId="165" fontId="15" fillId="8" borderId="10" xfId="0" applyNumberFormat="1" applyFont="1" applyFill="1" applyBorder="1" applyAlignment="1">
      <alignment horizontal="center"/>
    </xf>
    <xf numFmtId="165" fontId="15" fillId="8" borderId="28" xfId="0" applyNumberFormat="1" applyFont="1" applyFill="1" applyBorder="1" applyAlignment="1">
      <alignment horizontal="center"/>
    </xf>
    <xf numFmtId="165" fontId="15" fillId="5" borderId="30" xfId="0" applyNumberFormat="1" applyFont="1" applyFill="1" applyBorder="1" applyAlignment="1">
      <alignment horizontal="center"/>
    </xf>
    <xf numFmtId="165" fontId="15" fillId="5" borderId="3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15" fillId="8" borderId="0" xfId="0" applyFont="1" applyFill="1"/>
    <xf numFmtId="164" fontId="20" fillId="8" borderId="0" xfId="0" applyNumberFormat="1" applyFont="1" applyFill="1"/>
    <xf numFmtId="165" fontId="20" fillId="5" borderId="0" xfId="0" applyNumberFormat="1" applyFont="1" applyFill="1"/>
    <xf numFmtId="171" fontId="15" fillId="8" borderId="0" xfId="0" applyNumberFormat="1" applyFont="1" applyFill="1"/>
    <xf numFmtId="165" fontId="20" fillId="8" borderId="0" xfId="0" applyNumberFormat="1" applyFont="1" applyFill="1"/>
    <xf numFmtId="171" fontId="20" fillId="8" borderId="0" xfId="0" applyNumberFormat="1" applyFont="1" applyFill="1"/>
    <xf numFmtId="164" fontId="20" fillId="5" borderId="0" xfId="0" applyNumberFormat="1" applyFont="1" applyFill="1"/>
    <xf numFmtId="168" fontId="20" fillId="8" borderId="0" xfId="0" applyNumberFormat="1" applyFont="1" applyFill="1"/>
    <xf numFmtId="10" fontId="20" fillId="8" borderId="0" xfId="0" applyNumberFormat="1" applyFont="1" applyFill="1"/>
    <xf numFmtId="164" fontId="13" fillId="3" borderId="1" xfId="0" applyNumberFormat="1" applyFont="1" applyFill="1" applyBorder="1"/>
    <xf numFmtId="171" fontId="13" fillId="3" borderId="1" xfId="0" applyNumberFormat="1" applyFont="1" applyFill="1" applyBorder="1"/>
    <xf numFmtId="171" fontId="13" fillId="3" borderId="0" xfId="0" applyNumberFormat="1" applyFont="1" applyFill="1"/>
    <xf numFmtId="0" fontId="17" fillId="7" borderId="0" xfId="0" applyFont="1" applyFill="1"/>
    <xf numFmtId="164" fontId="17" fillId="7" borderId="0" xfId="0" applyNumberFormat="1" applyFont="1" applyFill="1"/>
    <xf numFmtId="164" fontId="17" fillId="7" borderId="1" xfId="0" applyNumberFormat="1" applyFont="1" applyFill="1" applyBorder="1"/>
    <xf numFmtId="0" fontId="10" fillId="8" borderId="0" xfId="0" applyFont="1" applyFill="1"/>
    <xf numFmtId="0" fontId="12" fillId="6" borderId="6" xfId="0" applyFont="1" applyFill="1" applyBorder="1" applyAlignment="1">
      <alignment horizontal="left"/>
    </xf>
    <xf numFmtId="164" fontId="13" fillId="7" borderId="4" xfId="0" applyNumberFormat="1" applyFont="1" applyFill="1" applyBorder="1"/>
    <xf numFmtId="0" fontId="21" fillId="5" borderId="0" xfId="0" applyFont="1" applyFill="1"/>
    <xf numFmtId="10" fontId="21" fillId="8" borderId="0" xfId="0" applyNumberFormat="1" applyFont="1" applyFill="1"/>
    <xf numFmtId="3" fontId="21" fillId="5" borderId="0" xfId="0" applyNumberFormat="1" applyFont="1" applyFill="1"/>
    <xf numFmtId="0" fontId="21" fillId="8" borderId="5" xfId="0" applyFont="1" applyFill="1" applyBorder="1"/>
    <xf numFmtId="0" fontId="21" fillId="5" borderId="3" xfId="0" applyFont="1" applyFill="1" applyBorder="1"/>
    <xf numFmtId="0" fontId="21" fillId="8" borderId="3" xfId="0" applyFont="1" applyFill="1" applyBorder="1"/>
    <xf numFmtId="0" fontId="21" fillId="8" borderId="7" xfId="0" applyFont="1" applyFill="1" applyBorder="1"/>
    <xf numFmtId="166" fontId="15" fillId="5" borderId="0" xfId="0" applyNumberFormat="1" applyFont="1" applyFill="1"/>
    <xf numFmtId="0" fontId="15" fillId="5" borderId="0" xfId="0" applyFont="1" applyFill="1" applyAlignment="1">
      <alignment horizontal="center"/>
    </xf>
    <xf numFmtId="169" fontId="15" fillId="8" borderId="0" xfId="0" applyNumberFormat="1" applyFont="1" applyFill="1"/>
    <xf numFmtId="0" fontId="15" fillId="8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164" fontId="15" fillId="12" borderId="0" xfId="0" applyNumberFormat="1" applyFont="1" applyFill="1"/>
    <xf numFmtId="164" fontId="12" fillId="2" borderId="0" xfId="0" applyNumberFormat="1" applyFont="1" applyFill="1"/>
    <xf numFmtId="0" fontId="22" fillId="5" borderId="0" xfId="0" applyFont="1" applyFill="1"/>
    <xf numFmtId="0" fontId="22" fillId="8" borderId="0" xfId="0" applyFont="1" applyFill="1"/>
    <xf numFmtId="171" fontId="16" fillId="8" borderId="0" xfId="0" applyNumberFormat="1" applyFont="1" applyFill="1"/>
    <xf numFmtId="171" fontId="16" fillId="5" borderId="0" xfId="0" applyNumberFormat="1" applyFont="1" applyFill="1"/>
    <xf numFmtId="171" fontId="13" fillId="7" borderId="0" xfId="0" applyNumberFormat="1" applyFont="1" applyFill="1"/>
    <xf numFmtId="0" fontId="25" fillId="5" borderId="0" xfId="0" applyFont="1" applyFill="1"/>
    <xf numFmtId="0" fontId="25" fillId="8" borderId="0" xfId="0" applyFont="1" applyFill="1"/>
    <xf numFmtId="174" fontId="25" fillId="8" borderId="0" xfId="0" applyNumberFormat="1" applyFont="1" applyFill="1"/>
    <xf numFmtId="174" fontId="25" fillId="5" borderId="0" xfId="0" applyNumberFormat="1" applyFont="1" applyFill="1"/>
    <xf numFmtId="0" fontId="17" fillId="5" borderId="0" xfId="0" applyFont="1" applyFill="1"/>
    <xf numFmtId="174" fontId="12" fillId="2" borderId="0" xfId="0" applyNumberFormat="1" applyFont="1" applyFill="1"/>
    <xf numFmtId="174" fontId="12" fillId="9" borderId="0" xfId="0" applyNumberFormat="1" applyFont="1" applyFill="1" applyAlignment="1">
      <alignment horizontal="center"/>
    </xf>
    <xf numFmtId="174" fontId="26" fillId="5" borderId="0" xfId="0" applyNumberFormat="1" applyFont="1" applyFill="1" applyAlignment="1">
      <alignment horizontal="center"/>
    </xf>
    <xf numFmtId="174" fontId="26" fillId="8" borderId="0" xfId="0" applyNumberFormat="1" applyFont="1" applyFill="1" applyAlignment="1">
      <alignment horizontal="center"/>
    </xf>
    <xf numFmtId="174" fontId="15" fillId="8" borderId="0" xfId="0" applyNumberFormat="1" applyFont="1" applyFill="1"/>
    <xf numFmtId="0" fontId="17" fillId="3" borderId="0" xfId="0" applyFont="1" applyFill="1"/>
    <xf numFmtId="174" fontId="26" fillId="3" borderId="0" xfId="0" applyNumberFormat="1" applyFont="1" applyFill="1" applyAlignment="1">
      <alignment horizontal="center"/>
    </xf>
    <xf numFmtId="174" fontId="13" fillId="3" borderId="0" xfId="0" applyNumberFormat="1" applyFont="1" applyFill="1"/>
    <xf numFmtId="0" fontId="23" fillId="8" borderId="0" xfId="0" applyFont="1" applyFill="1"/>
    <xf numFmtId="9" fontId="23" fillId="8" borderId="0" xfId="0" applyNumberFormat="1" applyFont="1" applyFill="1"/>
    <xf numFmtId="171" fontId="15" fillId="5" borderId="14" xfId="0" applyNumberFormat="1" applyFont="1" applyFill="1" applyBorder="1"/>
    <xf numFmtId="0" fontId="27" fillId="5" borderId="0" xfId="0" applyFont="1" applyFill="1"/>
    <xf numFmtId="171" fontId="15" fillId="8" borderId="14" xfId="0" applyNumberFormat="1" applyFont="1" applyFill="1" applyBorder="1"/>
    <xf numFmtId="171" fontId="13" fillId="7" borderId="14" xfId="0" applyNumberFormat="1" applyFont="1" applyFill="1" applyBorder="1"/>
    <xf numFmtId="0" fontId="27" fillId="7" borderId="0" xfId="0" applyFont="1" applyFill="1"/>
    <xf numFmtId="171" fontId="13" fillId="7" borderId="16" xfId="0" applyNumberFormat="1" applyFont="1" applyFill="1" applyBorder="1"/>
    <xf numFmtId="165" fontId="12" fillId="9" borderId="27" xfId="0" applyNumberFormat="1" applyFont="1" applyFill="1" applyBorder="1" applyAlignment="1">
      <alignment horizontal="center"/>
    </xf>
    <xf numFmtId="165" fontId="7" fillId="4" borderId="27" xfId="0" applyNumberFormat="1" applyFont="1" applyFill="1" applyBorder="1" applyAlignment="1">
      <alignment horizontal="center"/>
    </xf>
    <xf numFmtId="165" fontId="12" fillId="9" borderId="29" xfId="0" applyNumberFormat="1" applyFont="1" applyFill="1" applyBorder="1" applyAlignment="1">
      <alignment horizontal="center"/>
    </xf>
    <xf numFmtId="165" fontId="7" fillId="4" borderId="25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5" fontId="12" fillId="9" borderId="0" xfId="0" applyNumberFormat="1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10" fontId="12" fillId="9" borderId="0" xfId="0" applyNumberFormat="1" applyFont="1" applyFill="1" applyAlignment="1">
      <alignment horizontal="center"/>
    </xf>
    <xf numFmtId="10" fontId="7" fillId="4" borderId="0" xfId="0" applyNumberFormat="1" applyFont="1" applyFill="1" applyAlignment="1">
      <alignment horizontal="center"/>
    </xf>
    <xf numFmtId="9" fontId="12" fillId="9" borderId="0" xfId="0" applyNumberFormat="1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165" fontId="15" fillId="5" borderId="9" xfId="0" applyNumberFormat="1" applyFont="1" applyFill="1" applyBorder="1" applyAlignment="1">
      <alignment horizontal="center"/>
    </xf>
    <xf numFmtId="165" fontId="15" fillId="5" borderId="32" xfId="0" applyNumberFormat="1" applyFont="1" applyFill="1" applyBorder="1" applyAlignment="1">
      <alignment horizontal="center"/>
    </xf>
    <xf numFmtId="165" fontId="15" fillId="8" borderId="33" xfId="0" applyNumberFormat="1" applyFont="1" applyFill="1" applyBorder="1" applyAlignment="1">
      <alignment horizontal="center"/>
    </xf>
    <xf numFmtId="165" fontId="15" fillId="8" borderId="34" xfId="0" applyNumberFormat="1" applyFont="1" applyFill="1" applyBorder="1" applyAlignment="1">
      <alignment horizontal="center"/>
    </xf>
    <xf numFmtId="165" fontId="7" fillId="4" borderId="17" xfId="0" applyNumberFormat="1" applyFont="1" applyFill="1" applyBorder="1" applyAlignment="1">
      <alignment horizontal="center"/>
    </xf>
    <xf numFmtId="0" fontId="21" fillId="8" borderId="0" xfId="0" applyFont="1" applyFill="1" applyAlignment="1">
      <alignment horizontal="right"/>
    </xf>
    <xf numFmtId="164" fontId="21" fillId="5" borderId="0" xfId="0" applyNumberFormat="1" applyFont="1" applyFill="1" applyAlignment="1">
      <alignment horizontal="right"/>
    </xf>
    <xf numFmtId="165" fontId="21" fillId="8" borderId="0" xfId="0" applyNumberFormat="1" applyFont="1" applyFill="1" applyAlignment="1">
      <alignment horizontal="right"/>
    </xf>
    <xf numFmtId="164" fontId="15" fillId="5" borderId="0" xfId="0" applyNumberFormat="1" applyFont="1" applyFill="1" applyAlignment="1">
      <alignment horizontal="right"/>
    </xf>
    <xf numFmtId="164" fontId="16" fillId="8" borderId="0" xfId="0" applyNumberFormat="1" applyFont="1" applyFill="1" applyAlignment="1">
      <alignment horizontal="right"/>
    </xf>
    <xf numFmtId="3" fontId="13" fillId="0" borderId="0" xfId="0" applyNumberFormat="1" applyFont="1" applyAlignment="1">
      <alignment horizontal="center"/>
    </xf>
    <xf numFmtId="172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5" fillId="2" borderId="0" xfId="0" applyFont="1" applyFill="1"/>
    <xf numFmtId="0" fontId="31" fillId="2" borderId="35" xfId="0" applyFont="1" applyFill="1" applyBorder="1" applyAlignment="1">
      <alignment horizontal="left" vertical="center"/>
    </xf>
    <xf numFmtId="0" fontId="31" fillId="2" borderId="36" xfId="0" applyFont="1" applyFill="1" applyBorder="1" applyAlignment="1">
      <alignment horizontal="left" vertical="center" indent="1"/>
    </xf>
    <xf numFmtId="0" fontId="31" fillId="2" borderId="37" xfId="0" applyFont="1" applyFill="1" applyBorder="1" applyAlignment="1">
      <alignment horizontal="left" vertical="center"/>
    </xf>
    <xf numFmtId="0" fontId="30" fillId="14" borderId="38" xfId="0" applyFont="1" applyFill="1" applyBorder="1" applyAlignment="1">
      <alignment horizontal="left" vertical="center" indent="1"/>
    </xf>
    <xf numFmtId="0" fontId="30" fillId="14" borderId="39" xfId="0" applyFont="1" applyFill="1" applyBorder="1" applyAlignment="1">
      <alignment horizontal="left" vertical="center" indent="1"/>
    </xf>
    <xf numFmtId="0" fontId="32" fillId="13" borderId="40" xfId="0" applyFont="1" applyFill="1" applyBorder="1" applyAlignment="1">
      <alignment horizontal="left" vertical="center" indent="1"/>
    </xf>
    <xf numFmtId="0" fontId="30" fillId="14" borderId="41" xfId="0" applyFont="1" applyFill="1" applyBorder="1" applyAlignment="1">
      <alignment horizontal="left" vertical="center" indent="1"/>
    </xf>
    <xf numFmtId="0" fontId="30" fillId="14" borderId="42" xfId="0" applyFont="1" applyFill="1" applyBorder="1" applyAlignment="1">
      <alignment horizontal="left" vertical="center" indent="1"/>
    </xf>
    <xf numFmtId="0" fontId="32" fillId="13" borderId="43" xfId="0" applyFont="1" applyFill="1" applyBorder="1" applyAlignment="1">
      <alignment horizontal="left" vertical="center" indent="1"/>
    </xf>
    <xf numFmtId="0" fontId="30" fillId="14" borderId="44" xfId="0" applyFont="1" applyFill="1" applyBorder="1" applyAlignment="1">
      <alignment horizontal="left" vertical="center" indent="1"/>
    </xf>
    <xf numFmtId="0" fontId="30" fillId="14" borderId="45" xfId="0" applyFont="1" applyFill="1" applyBorder="1" applyAlignment="1">
      <alignment horizontal="left" vertical="center" indent="1"/>
    </xf>
    <xf numFmtId="0" fontId="32" fillId="13" borderId="46" xfId="0" applyFont="1" applyFill="1" applyBorder="1" applyAlignment="1">
      <alignment horizontal="left" vertical="center" indent="1"/>
    </xf>
    <xf numFmtId="0" fontId="34" fillId="13" borderId="47" xfId="0" applyFont="1" applyFill="1" applyBorder="1" applyAlignment="1">
      <alignment horizontal="left" vertical="center" indent="1"/>
    </xf>
    <xf numFmtId="0" fontId="32" fillId="13" borderId="48" xfId="0" applyFont="1" applyFill="1" applyBorder="1" applyAlignment="1">
      <alignment horizontal="left" vertical="center" indent="1"/>
    </xf>
    <xf numFmtId="0" fontId="33" fillId="15" borderId="49" xfId="0" applyFont="1" applyFill="1" applyBorder="1" applyAlignment="1">
      <alignment horizontal="left" vertical="center" indent="1"/>
    </xf>
    <xf numFmtId="0" fontId="32" fillId="13" borderId="47" xfId="0" applyFont="1" applyFill="1" applyBorder="1" applyAlignment="1">
      <alignment horizontal="left" vertical="center" indent="1"/>
    </xf>
    <xf numFmtId="0" fontId="32" fillId="13" borderId="49" xfId="0" applyFont="1" applyFill="1" applyBorder="1" applyAlignment="1">
      <alignment horizontal="left" vertical="center" indent="1"/>
    </xf>
    <xf numFmtId="0" fontId="12" fillId="6" borderId="50" xfId="0" applyFont="1" applyFill="1" applyBorder="1" applyAlignment="1">
      <alignment horizontal="left" vertical="center" indent="1"/>
    </xf>
    <xf numFmtId="0" fontId="12" fillId="6" borderId="51" xfId="0" applyFont="1" applyFill="1" applyBorder="1" applyAlignment="1">
      <alignment horizontal="center" vertical="center"/>
    </xf>
    <xf numFmtId="0" fontId="12" fillId="6" borderId="52" xfId="0" applyFont="1" applyFill="1" applyBorder="1" applyAlignment="1">
      <alignment horizontal="center" vertical="center"/>
    </xf>
    <xf numFmtId="0" fontId="35" fillId="11" borderId="53" xfId="0" applyFont="1" applyFill="1" applyBorder="1" applyAlignment="1">
      <alignment horizontal="left" vertical="center" indent="1"/>
    </xf>
    <xf numFmtId="3" fontId="36" fillId="11" borderId="54" xfId="0" applyNumberFormat="1" applyFont="1" applyFill="1" applyBorder="1" applyAlignment="1">
      <alignment horizontal="center" vertical="center"/>
    </xf>
    <xf numFmtId="172" fontId="36" fillId="11" borderId="54" xfId="0" applyNumberFormat="1" applyFont="1" applyFill="1" applyBorder="1" applyAlignment="1">
      <alignment horizontal="center" vertical="center"/>
    </xf>
    <xf numFmtId="164" fontId="36" fillId="11" borderId="55" xfId="0" applyNumberFormat="1" applyFont="1" applyFill="1" applyBorder="1" applyAlignment="1">
      <alignment horizontal="center" vertical="center"/>
    </xf>
    <xf numFmtId="0" fontId="35" fillId="5" borderId="56" xfId="0" applyFont="1" applyFill="1" applyBorder="1" applyAlignment="1">
      <alignment horizontal="left" vertical="center" indent="1"/>
    </xf>
    <xf numFmtId="3" fontId="21" fillId="5" borderId="57" xfId="0" applyNumberFormat="1" applyFont="1" applyFill="1" applyBorder="1" applyAlignment="1">
      <alignment horizontal="center" vertical="center"/>
    </xf>
    <xf numFmtId="3" fontId="36" fillId="5" borderId="57" xfId="0" applyNumberFormat="1" applyFont="1" applyFill="1" applyBorder="1" applyAlignment="1">
      <alignment horizontal="center" vertical="center"/>
    </xf>
    <xf numFmtId="172" fontId="36" fillId="5" borderId="57" xfId="0" applyNumberFormat="1" applyFont="1" applyFill="1" applyBorder="1" applyAlignment="1">
      <alignment horizontal="center" vertical="center"/>
    </xf>
    <xf numFmtId="164" fontId="36" fillId="5" borderId="58" xfId="0" applyNumberFormat="1" applyFont="1" applyFill="1" applyBorder="1" applyAlignment="1">
      <alignment horizontal="center" vertical="center"/>
    </xf>
    <xf numFmtId="0" fontId="35" fillId="11" borderId="56" xfId="0" applyFont="1" applyFill="1" applyBorder="1" applyAlignment="1">
      <alignment horizontal="left" vertical="center" indent="1"/>
    </xf>
    <xf numFmtId="3" fontId="21" fillId="11" borderId="57" xfId="0" applyNumberFormat="1" applyFont="1" applyFill="1" applyBorder="1" applyAlignment="1">
      <alignment horizontal="center" vertical="center"/>
    </xf>
    <xf numFmtId="3" fontId="36" fillId="11" borderId="57" xfId="0" applyNumberFormat="1" applyFont="1" applyFill="1" applyBorder="1" applyAlignment="1">
      <alignment horizontal="center" vertical="center"/>
    </xf>
    <xf numFmtId="172" fontId="36" fillId="11" borderId="57" xfId="0" applyNumberFormat="1" applyFont="1" applyFill="1" applyBorder="1" applyAlignment="1">
      <alignment horizontal="center" vertical="center"/>
    </xf>
    <xf numFmtId="164" fontId="36" fillId="11" borderId="58" xfId="0" applyNumberFormat="1" applyFont="1" applyFill="1" applyBorder="1" applyAlignment="1">
      <alignment horizontal="center" vertical="center"/>
    </xf>
    <xf numFmtId="0" fontId="35" fillId="11" borderId="59" xfId="0" applyFont="1" applyFill="1" applyBorder="1" applyAlignment="1">
      <alignment horizontal="left" vertical="center" indent="1"/>
    </xf>
    <xf numFmtId="0" fontId="21" fillId="11" borderId="60" xfId="0" applyFont="1" applyFill="1" applyBorder="1" applyAlignment="1">
      <alignment horizontal="center" vertical="center"/>
    </xf>
    <xf numFmtId="3" fontId="36" fillId="11" borderId="60" xfId="0" applyNumberFormat="1" applyFont="1" applyFill="1" applyBorder="1" applyAlignment="1">
      <alignment horizontal="center" vertical="center"/>
    </xf>
    <xf numFmtId="172" fontId="36" fillId="11" borderId="60" xfId="0" applyNumberFormat="1" applyFont="1" applyFill="1" applyBorder="1" applyAlignment="1">
      <alignment horizontal="center" vertical="center"/>
    </xf>
    <xf numFmtId="164" fontId="36" fillId="11" borderId="61" xfId="0" applyNumberFormat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center"/>
    </xf>
    <xf numFmtId="172" fontId="15" fillId="2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31" fillId="2" borderId="0" xfId="0" applyFont="1" applyFill="1" applyAlignment="1">
      <alignment vertical="center" indent="1"/>
    </xf>
    <xf numFmtId="0" fontId="37" fillId="11" borderId="63" xfId="0" applyFont="1" applyFill="1" applyBorder="1" applyAlignment="1">
      <alignment vertical="center"/>
    </xf>
    <xf numFmtId="0" fontId="37" fillId="11" borderId="64" xfId="0" applyFont="1" applyFill="1" applyBorder="1" applyAlignment="1">
      <alignment vertical="center"/>
    </xf>
    <xf numFmtId="0" fontId="37" fillId="5" borderId="66" xfId="0" applyFont="1" applyFill="1" applyBorder="1" applyAlignment="1">
      <alignment vertical="center"/>
    </xf>
    <xf numFmtId="0" fontId="37" fillId="5" borderId="67" xfId="0" applyFont="1" applyFill="1" applyBorder="1" applyAlignment="1">
      <alignment vertical="center"/>
    </xf>
    <xf numFmtId="0" fontId="37" fillId="11" borderId="66" xfId="0" applyFont="1" applyFill="1" applyBorder="1" applyAlignment="1">
      <alignment vertical="center"/>
    </xf>
    <xf numFmtId="0" fontId="37" fillId="11" borderId="67" xfId="0" applyFont="1" applyFill="1" applyBorder="1" applyAlignment="1">
      <alignment vertical="center"/>
    </xf>
    <xf numFmtId="0" fontId="37" fillId="11" borderId="69" xfId="0" applyFont="1" applyFill="1" applyBorder="1" applyAlignment="1">
      <alignment vertical="center"/>
    </xf>
    <xf numFmtId="0" fontId="37" fillId="11" borderId="70" xfId="0" applyFont="1" applyFill="1" applyBorder="1" applyAlignment="1">
      <alignment vertical="center"/>
    </xf>
    <xf numFmtId="0" fontId="37" fillId="11" borderId="62" xfId="0" applyFont="1" applyFill="1" applyBorder="1" applyAlignment="1">
      <alignment horizontal="center" vertical="center"/>
    </xf>
    <xf numFmtId="0" fontId="37" fillId="5" borderId="65" xfId="0" applyFont="1" applyFill="1" applyBorder="1" applyAlignment="1">
      <alignment horizontal="center" vertical="center"/>
    </xf>
    <xf numFmtId="0" fontId="37" fillId="11" borderId="65" xfId="0" applyFont="1" applyFill="1" applyBorder="1" applyAlignment="1">
      <alignment horizontal="center" vertical="center"/>
    </xf>
    <xf numFmtId="0" fontId="37" fillId="11" borderId="68" xfId="0" applyFont="1" applyFill="1" applyBorder="1" applyAlignment="1">
      <alignment horizontal="center" vertical="center"/>
    </xf>
    <xf numFmtId="0" fontId="37" fillId="11" borderId="63" xfId="0" applyFont="1" applyFill="1" applyBorder="1" applyAlignment="1">
      <alignment horizontal="center" vertical="center"/>
    </xf>
    <xf numFmtId="0" fontId="37" fillId="5" borderId="66" xfId="0" applyFont="1" applyFill="1" applyBorder="1" applyAlignment="1">
      <alignment horizontal="center" vertical="center"/>
    </xf>
    <xf numFmtId="0" fontId="37" fillId="11" borderId="66" xfId="0" applyFont="1" applyFill="1" applyBorder="1" applyAlignment="1">
      <alignment horizontal="center" vertical="center"/>
    </xf>
    <xf numFmtId="0" fontId="37" fillId="11" borderId="69" xfId="0" applyFont="1" applyFill="1" applyBorder="1" applyAlignment="1">
      <alignment horizontal="center" vertical="center"/>
    </xf>
    <xf numFmtId="0" fontId="37" fillId="11" borderId="63" xfId="0" applyFont="1" applyFill="1" applyBorder="1" applyAlignment="1">
      <alignment horizontal="left" vertical="center" indent="1"/>
    </xf>
    <xf numFmtId="0" fontId="37" fillId="5" borderId="66" xfId="0" applyFont="1" applyFill="1" applyBorder="1" applyAlignment="1">
      <alignment horizontal="left" vertical="center" indent="1"/>
    </xf>
    <xf numFmtId="0" fontId="37" fillId="11" borderId="66" xfId="0" applyFont="1" applyFill="1" applyBorder="1" applyAlignment="1">
      <alignment horizontal="left" vertical="center" indent="1"/>
    </xf>
    <xf numFmtId="0" fontId="37" fillId="11" borderId="69" xfId="0" applyFont="1" applyFill="1" applyBorder="1" applyAlignment="1">
      <alignment horizontal="left" vertical="center" indent="1"/>
    </xf>
    <xf numFmtId="0" fontId="33" fillId="11" borderId="63" xfId="0" applyFont="1" applyFill="1" applyBorder="1" applyAlignment="1">
      <alignment horizontal="center" vertical="center"/>
    </xf>
    <xf numFmtId="0" fontId="33" fillId="5" borderId="66" xfId="0" applyFont="1" applyFill="1" applyBorder="1" applyAlignment="1">
      <alignment horizontal="center" vertical="center"/>
    </xf>
    <xf numFmtId="0" fontId="33" fillId="11" borderId="66" xfId="0" applyFont="1" applyFill="1" applyBorder="1" applyAlignment="1">
      <alignment horizontal="center" vertical="center"/>
    </xf>
    <xf numFmtId="0" fontId="33" fillId="11" borderId="69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vertical="center" indent="1"/>
    </xf>
    <xf numFmtId="0" fontId="15" fillId="5" borderId="0" xfId="0" applyFont="1" applyFill="1" applyAlignment="1">
      <alignment vertical="center"/>
    </xf>
    <xf numFmtId="0" fontId="12" fillId="6" borderId="50" xfId="0" applyFont="1" applyFill="1" applyBorder="1" applyAlignment="1">
      <alignment horizontal="left" indent="1"/>
    </xf>
    <xf numFmtId="0" fontId="12" fillId="6" borderId="51" xfId="0" applyFont="1" applyFill="1" applyBorder="1" applyAlignment="1">
      <alignment horizontal="center"/>
    </xf>
    <xf numFmtId="0" fontId="12" fillId="6" borderId="52" xfId="0" applyFont="1" applyFill="1" applyBorder="1" applyAlignment="1">
      <alignment horizontal="center"/>
    </xf>
    <xf numFmtId="164" fontId="15" fillId="5" borderId="54" xfId="0" applyNumberFormat="1" applyFont="1" applyFill="1" applyBorder="1" applyAlignment="1">
      <alignment horizontal="center" vertical="center"/>
    </xf>
    <xf numFmtId="164" fontId="15" fillId="5" borderId="55" xfId="0" applyNumberFormat="1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vertical="center" indent="1"/>
    </xf>
    <xf numFmtId="3" fontId="14" fillId="5" borderId="54" xfId="0" applyNumberFormat="1" applyFont="1" applyFill="1" applyBorder="1" applyAlignment="1">
      <alignment horizontal="center" vertical="center"/>
    </xf>
    <xf numFmtId="164" fontId="14" fillId="5" borderId="54" xfId="0" applyNumberFormat="1" applyFont="1" applyFill="1" applyBorder="1" applyAlignment="1">
      <alignment horizontal="center" vertical="center"/>
    </xf>
    <xf numFmtId="164" fontId="15" fillId="11" borderId="57" xfId="0" applyNumberFormat="1" applyFont="1" applyFill="1" applyBorder="1" applyAlignment="1">
      <alignment horizontal="center" vertical="center"/>
    </xf>
    <xf numFmtId="164" fontId="15" fillId="11" borderId="58" xfId="0" applyNumberFormat="1" applyFont="1" applyFill="1" applyBorder="1" applyAlignment="1">
      <alignment horizontal="center" vertical="center"/>
    </xf>
    <xf numFmtId="0" fontId="14" fillId="11" borderId="56" xfId="0" applyFont="1" applyFill="1" applyBorder="1" applyAlignment="1">
      <alignment vertical="center" indent="1"/>
    </xf>
    <xf numFmtId="3" fontId="14" fillId="11" borderId="57" xfId="0" applyNumberFormat="1" applyFont="1" applyFill="1" applyBorder="1" applyAlignment="1">
      <alignment horizontal="center" vertical="center"/>
    </xf>
    <xf numFmtId="164" fontId="14" fillId="11" borderId="57" xfId="0" applyNumberFormat="1" applyFont="1" applyFill="1" applyBorder="1" applyAlignment="1">
      <alignment horizontal="center" vertical="center"/>
    </xf>
    <xf numFmtId="164" fontId="15" fillId="5" borderId="57" xfId="0" applyNumberFormat="1" applyFont="1" applyFill="1" applyBorder="1" applyAlignment="1">
      <alignment horizontal="center" vertical="center"/>
    </xf>
    <xf numFmtId="164" fontId="15" fillId="5" borderId="58" xfId="0" applyNumberFormat="1" applyFont="1" applyFill="1" applyBorder="1" applyAlignment="1">
      <alignment horizontal="center" vertical="center"/>
    </xf>
    <xf numFmtId="0" fontId="14" fillId="5" borderId="56" xfId="0" applyFont="1" applyFill="1" applyBorder="1" applyAlignment="1">
      <alignment vertical="center" indent="1"/>
    </xf>
    <xf numFmtId="3" fontId="14" fillId="5" borderId="57" xfId="0" applyNumberFormat="1" applyFont="1" applyFill="1" applyBorder="1" applyAlignment="1">
      <alignment horizontal="center" vertical="center"/>
    </xf>
    <xf numFmtId="164" fontId="14" fillId="5" borderId="57" xfId="0" applyNumberFormat="1" applyFont="1" applyFill="1" applyBorder="1" applyAlignment="1">
      <alignment horizontal="center" vertical="center"/>
    </xf>
    <xf numFmtId="0" fontId="13" fillId="3" borderId="72" xfId="0" applyFont="1" applyFill="1" applyBorder="1" applyAlignment="1">
      <alignment horizontal="center" vertical="center" indent="1"/>
    </xf>
    <xf numFmtId="3" fontId="13" fillId="3" borderId="73" xfId="0" applyNumberFormat="1" applyFont="1" applyFill="1" applyBorder="1" applyAlignment="1">
      <alignment horizontal="center" vertical="center"/>
    </xf>
    <xf numFmtId="164" fontId="13" fillId="3" borderId="73" xfId="0" applyNumberFormat="1" applyFont="1" applyFill="1" applyBorder="1" applyAlignment="1">
      <alignment horizontal="center" vertical="center"/>
    </xf>
    <xf numFmtId="164" fontId="13" fillId="3" borderId="74" xfId="0" applyNumberFormat="1" applyFont="1" applyFill="1" applyBorder="1" applyAlignment="1">
      <alignment horizontal="center" vertical="center"/>
    </xf>
    <xf numFmtId="0" fontId="29" fillId="7" borderId="0" xfId="0" applyFont="1" applyFill="1"/>
    <xf numFmtId="3" fontId="29" fillId="7" borderId="0" xfId="0" applyNumberFormat="1" applyFont="1" applyFill="1"/>
    <xf numFmtId="0" fontId="29" fillId="7" borderId="0" xfId="0" applyFont="1" applyFill="1" applyAlignment="1">
      <alignment indent="2"/>
    </xf>
    <xf numFmtId="0" fontId="17" fillId="7" borderId="0" xfId="0" applyFont="1" applyFill="1" applyAlignment="1">
      <alignment indent="2"/>
    </xf>
    <xf numFmtId="0" fontId="15" fillId="5" borderId="0" xfId="0" applyFont="1" applyFill="1" applyAlignment="1">
      <alignment vertical="center" indent="1"/>
    </xf>
    <xf numFmtId="164" fontId="14" fillId="5" borderId="0" xfId="0" applyNumberFormat="1" applyFont="1" applyFill="1" applyAlignment="1">
      <alignment vertical="center"/>
    </xf>
    <xf numFmtId="0" fontId="16" fillId="11" borderId="76" xfId="0" applyFont="1" applyFill="1" applyBorder="1" applyAlignment="1">
      <alignment vertical="center" indent="1"/>
    </xf>
    <xf numFmtId="164" fontId="16" fillId="11" borderId="76" xfId="0" applyNumberFormat="1" applyFont="1" applyFill="1" applyBorder="1" applyAlignment="1">
      <alignment vertical="center"/>
    </xf>
    <xf numFmtId="0" fontId="16" fillId="11" borderId="76" xfId="0" applyFont="1" applyFill="1" applyBorder="1" applyAlignment="1">
      <alignment vertical="center"/>
    </xf>
    <xf numFmtId="0" fontId="15" fillId="11" borderId="75" xfId="0" applyFont="1" applyFill="1" applyBorder="1" applyAlignment="1">
      <alignment vertical="center" indent="1"/>
    </xf>
    <xf numFmtId="0" fontId="15" fillId="11" borderId="75" xfId="0" applyFont="1" applyFill="1" applyBorder="1" applyAlignment="1">
      <alignment vertical="center"/>
    </xf>
    <xf numFmtId="165" fontId="14" fillId="5" borderId="0" xfId="0" applyNumberFormat="1" applyFont="1" applyFill="1" applyAlignment="1">
      <alignment vertical="center"/>
    </xf>
    <xf numFmtId="0" fontId="15" fillId="11" borderId="76" xfId="0" applyFont="1" applyFill="1" applyBorder="1" applyAlignment="1">
      <alignment vertical="center" indent="1"/>
    </xf>
    <xf numFmtId="0" fontId="15" fillId="11" borderId="76" xfId="0" applyFont="1" applyFill="1" applyBorder="1" applyAlignment="1">
      <alignment vertical="center"/>
    </xf>
    <xf numFmtId="164" fontId="14" fillId="11" borderId="76" xfId="0" applyNumberFormat="1" applyFont="1" applyFill="1" applyBorder="1" applyAlignment="1">
      <alignment vertical="center"/>
    </xf>
    <xf numFmtId="0" fontId="15" fillId="5" borderId="75" xfId="0" applyFont="1" applyFill="1" applyBorder="1" applyAlignment="1">
      <alignment vertical="center" indent="1"/>
    </xf>
    <xf numFmtId="0" fontId="15" fillId="5" borderId="75" xfId="0" applyFont="1" applyFill="1" applyBorder="1" applyAlignment="1">
      <alignment vertical="center"/>
    </xf>
    <xf numFmtId="164" fontId="14" fillId="11" borderId="75" xfId="0" applyNumberFormat="1" applyFont="1" applyFill="1" applyBorder="1" applyAlignment="1">
      <alignment vertical="center"/>
    </xf>
    <xf numFmtId="0" fontId="15" fillId="5" borderId="76" xfId="0" applyFont="1" applyFill="1" applyBorder="1" applyAlignment="1">
      <alignment vertical="center" indent="1"/>
    </xf>
    <xf numFmtId="0" fontId="15" fillId="5" borderId="76" xfId="0" applyFont="1" applyFill="1" applyBorder="1" applyAlignment="1">
      <alignment vertical="center"/>
    </xf>
    <xf numFmtId="165" fontId="14" fillId="5" borderId="76" xfId="0" applyNumberFormat="1" applyFont="1" applyFill="1" applyBorder="1" applyAlignment="1">
      <alignment vertical="center"/>
    </xf>
    <xf numFmtId="165" fontId="14" fillId="5" borderId="75" xfId="0" applyNumberFormat="1" applyFont="1" applyFill="1" applyBorder="1" applyAlignment="1">
      <alignment vertical="center"/>
    </xf>
    <xf numFmtId="164" fontId="15" fillId="5" borderId="76" xfId="0" applyNumberFormat="1" applyFont="1" applyFill="1" applyBorder="1" applyAlignment="1">
      <alignment vertical="center"/>
    </xf>
    <xf numFmtId="164" fontId="14" fillId="5" borderId="75" xfId="0" applyNumberFormat="1" applyFont="1" applyFill="1" applyBorder="1" applyAlignment="1">
      <alignment vertical="center"/>
    </xf>
    <xf numFmtId="165" fontId="14" fillId="11" borderId="76" xfId="0" applyNumberFormat="1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6" fillId="5" borderId="75" xfId="0" applyFont="1" applyFill="1" applyBorder="1" applyAlignment="1">
      <alignment vertical="center" indent="1"/>
    </xf>
    <xf numFmtId="164" fontId="16" fillId="5" borderId="75" xfId="0" applyNumberFormat="1" applyFont="1" applyFill="1" applyBorder="1" applyAlignment="1">
      <alignment vertical="center"/>
    </xf>
    <xf numFmtId="0" fontId="16" fillId="5" borderId="75" xfId="0" applyFont="1" applyFill="1" applyBorder="1" applyAlignment="1">
      <alignment vertical="center"/>
    </xf>
    <xf numFmtId="165" fontId="14" fillId="11" borderId="75" xfId="0" applyNumberFormat="1" applyFont="1" applyFill="1" applyBorder="1" applyAlignment="1">
      <alignment vertical="center"/>
    </xf>
    <xf numFmtId="10" fontId="14" fillId="11" borderId="75" xfId="0" applyNumberFormat="1" applyFont="1" applyFill="1" applyBorder="1" applyAlignment="1">
      <alignment vertical="center"/>
    </xf>
    <xf numFmtId="3" fontId="14" fillId="5" borderId="75" xfId="0" applyNumberFormat="1" applyFont="1" applyFill="1" applyBorder="1" applyAlignment="1">
      <alignment vertical="center"/>
    </xf>
    <xf numFmtId="3" fontId="14" fillId="11" borderId="75" xfId="0" applyNumberFormat="1" applyFont="1" applyFill="1" applyBorder="1" applyAlignment="1">
      <alignment vertical="center"/>
    </xf>
    <xf numFmtId="3" fontId="14" fillId="5" borderId="0" xfId="0" applyNumberFormat="1" applyFont="1" applyFill="1" applyAlignment="1">
      <alignment vertical="center"/>
    </xf>
    <xf numFmtId="0" fontId="38" fillId="3" borderId="0" xfId="0" applyFont="1" applyFill="1"/>
    <xf numFmtId="164" fontId="38" fillId="3" borderId="0" xfId="0" applyNumberFormat="1" applyFont="1" applyFill="1"/>
    <xf numFmtId="0" fontId="38" fillId="3" borderId="0" xfId="0" applyFont="1" applyFill="1" applyAlignment="1">
      <alignment indent="2"/>
    </xf>
    <xf numFmtId="0" fontId="13" fillId="3" borderId="71" xfId="0" applyFont="1" applyFill="1" applyBorder="1" applyAlignment="1">
      <alignment indent="1"/>
    </xf>
    <xf numFmtId="164" fontId="13" fillId="3" borderId="71" xfId="0" applyNumberFormat="1" applyFont="1" applyFill="1" applyBorder="1"/>
    <xf numFmtId="0" fontId="13" fillId="3" borderId="71" xfId="0" applyFont="1" applyFill="1" applyBorder="1"/>
    <xf numFmtId="0" fontId="38" fillId="3" borderId="77" xfId="0" applyFont="1" applyFill="1" applyBorder="1" applyAlignment="1">
      <alignment indent="2"/>
    </xf>
    <xf numFmtId="164" fontId="38" fillId="3" borderId="77" xfId="0" applyNumberFormat="1" applyFont="1" applyFill="1" applyBorder="1"/>
    <xf numFmtId="0" fontId="38" fillId="3" borderId="77" xfId="0" applyFont="1" applyFill="1" applyBorder="1"/>
    <xf numFmtId="0" fontId="15" fillId="0" borderId="0" xfId="0" applyFont="1"/>
    <xf numFmtId="0" fontId="19" fillId="0" borderId="0" xfId="0" applyFont="1"/>
    <xf numFmtId="0" fontId="19" fillId="0" borderId="0" xfId="0" applyFont="1" applyAlignment="1">
      <alignment vertical="center" indent="1"/>
    </xf>
    <xf numFmtId="0" fontId="12" fillId="6" borderId="78" xfId="0" applyFont="1" applyFill="1" applyBorder="1" applyAlignment="1">
      <alignment horizontal="center" vertical="center"/>
    </xf>
    <xf numFmtId="0" fontId="12" fillId="6" borderId="79" xfId="0" applyFont="1" applyFill="1" applyBorder="1" applyAlignment="1">
      <alignment horizontal="center" vertical="center"/>
    </xf>
    <xf numFmtId="0" fontId="12" fillId="6" borderId="80" xfId="0" applyFont="1" applyFill="1" applyBorder="1" applyAlignment="1">
      <alignment horizontal="center" vertical="center"/>
    </xf>
    <xf numFmtId="44" fontId="0" fillId="0" borderId="0" xfId="1" applyFont="1"/>
    <xf numFmtId="0" fontId="39" fillId="0" borderId="0" xfId="0" applyFont="1"/>
    <xf numFmtId="3" fontId="9" fillId="8" borderId="5" xfId="0" applyNumberFormat="1" applyFont="1" applyFill="1" applyBorder="1" applyAlignment="1">
      <alignment horizontal="center"/>
    </xf>
    <xf numFmtId="164" fontId="9" fillId="8" borderId="5" xfId="0" applyNumberFormat="1" applyFont="1" applyFill="1" applyBorder="1" applyAlignment="1">
      <alignment horizontal="center"/>
    </xf>
    <xf numFmtId="3" fontId="9" fillId="5" borderId="3" xfId="0" applyNumberFormat="1" applyFont="1" applyFill="1" applyBorder="1" applyAlignment="1">
      <alignment horizontal="center"/>
    </xf>
    <xf numFmtId="164" fontId="9" fillId="5" borderId="3" xfId="0" applyNumberFormat="1" applyFont="1" applyFill="1" applyBorder="1" applyAlignment="1">
      <alignment horizontal="center"/>
    </xf>
    <xf numFmtId="3" fontId="9" fillId="8" borderId="3" xfId="0" applyNumberFormat="1" applyFont="1" applyFill="1" applyBorder="1" applyAlignment="1">
      <alignment horizontal="center"/>
    </xf>
    <xf numFmtId="164" fontId="9" fillId="8" borderId="3" xfId="0" applyNumberFormat="1" applyFont="1" applyFill="1" applyBorder="1" applyAlignment="1">
      <alignment horizontal="center"/>
    </xf>
    <xf numFmtId="3" fontId="9" fillId="8" borderId="7" xfId="0" applyNumberFormat="1" applyFont="1" applyFill="1" applyBorder="1" applyAlignment="1">
      <alignment horizontal="center"/>
    </xf>
    <xf numFmtId="164" fontId="9" fillId="8" borderId="7" xfId="0" applyNumberFormat="1" applyFont="1" applyFill="1" applyBorder="1" applyAlignment="1">
      <alignment horizontal="center"/>
    </xf>
    <xf numFmtId="3" fontId="9" fillId="11" borderId="54" xfId="0" applyNumberFormat="1" applyFont="1" applyFill="1" applyBorder="1" applyAlignment="1">
      <alignment horizontal="center" vertical="center"/>
    </xf>
    <xf numFmtId="3" fontId="9" fillId="5" borderId="57" xfId="0" applyNumberFormat="1" applyFont="1" applyFill="1" applyBorder="1" applyAlignment="1">
      <alignment horizontal="center" vertical="center"/>
    </xf>
    <xf numFmtId="3" fontId="9" fillId="11" borderId="57" xfId="0" applyNumberFormat="1" applyFont="1" applyFill="1" applyBorder="1" applyAlignment="1">
      <alignment horizontal="center" vertical="center"/>
    </xf>
    <xf numFmtId="3" fontId="40" fillId="16" borderId="54" xfId="0" applyNumberFormat="1" applyFont="1" applyFill="1" applyBorder="1" applyAlignment="1">
      <alignment horizontal="center" vertical="center"/>
    </xf>
    <xf numFmtId="3" fontId="40" fillId="5" borderId="57" xfId="0" applyNumberFormat="1" applyFont="1" applyFill="1" applyBorder="1" applyAlignment="1">
      <alignment horizontal="center" vertical="center"/>
    </xf>
    <xf numFmtId="3" fontId="40" fillId="16" borderId="57" xfId="0" applyNumberFormat="1" applyFont="1" applyFill="1" applyBorder="1" applyAlignment="1">
      <alignment horizontal="center" vertical="center"/>
    </xf>
    <xf numFmtId="3" fontId="40" fillId="16" borderId="60" xfId="0" applyNumberFormat="1" applyFont="1" applyFill="1" applyBorder="1" applyAlignment="1">
      <alignment horizontal="center" vertical="center"/>
    </xf>
    <xf numFmtId="0" fontId="12" fillId="6" borderId="81" xfId="0" applyFont="1" applyFill="1" applyBorder="1" applyAlignment="1">
      <alignment horizontal="center"/>
    </xf>
    <xf numFmtId="0" fontId="12" fillId="6" borderId="82" xfId="0" applyFont="1" applyFill="1" applyBorder="1" applyAlignment="1">
      <alignment horizontal="center"/>
    </xf>
    <xf numFmtId="0" fontId="12" fillId="6" borderId="85" xfId="0" applyFont="1" applyFill="1" applyBorder="1" applyAlignment="1">
      <alignment horizontal="center"/>
    </xf>
    <xf numFmtId="164" fontId="9" fillId="8" borderId="84" xfId="0" applyNumberFormat="1" applyFont="1" applyFill="1" applyBorder="1" applyAlignment="1">
      <alignment horizontal="center"/>
    </xf>
    <xf numFmtId="0" fontId="12" fillId="6" borderId="88" xfId="0" applyFont="1" applyFill="1" applyBorder="1" applyAlignment="1">
      <alignment horizontal="center"/>
    </xf>
    <xf numFmtId="3" fontId="15" fillId="8" borderId="89" xfId="0" applyNumberFormat="1" applyFont="1" applyFill="1" applyBorder="1" applyAlignment="1">
      <alignment horizontal="center"/>
    </xf>
    <xf numFmtId="166" fontId="15" fillId="8" borderId="89" xfId="0" applyNumberFormat="1" applyFont="1" applyFill="1" applyBorder="1" applyAlignment="1">
      <alignment horizontal="center"/>
    </xf>
    <xf numFmtId="164" fontId="9" fillId="5" borderId="4" xfId="0" applyNumberFormat="1" applyFont="1" applyFill="1" applyBorder="1" applyAlignment="1">
      <alignment horizontal="center"/>
    </xf>
    <xf numFmtId="3" fontId="15" fillId="8" borderId="90" xfId="0" applyNumberFormat="1" applyFont="1" applyFill="1" applyBorder="1" applyAlignment="1">
      <alignment horizontal="center"/>
    </xf>
    <xf numFmtId="3" fontId="15" fillId="5" borderId="85" xfId="0" applyNumberFormat="1" applyFont="1" applyFill="1" applyBorder="1" applyAlignment="1">
      <alignment horizontal="center"/>
    </xf>
    <xf numFmtId="166" fontId="15" fillId="5" borderId="85" xfId="0" applyNumberFormat="1" applyFont="1" applyFill="1" applyBorder="1" applyAlignment="1">
      <alignment horizontal="center"/>
    </xf>
    <xf numFmtId="164" fontId="9" fillId="8" borderId="4" xfId="0" applyNumberFormat="1" applyFont="1" applyFill="1" applyBorder="1" applyAlignment="1">
      <alignment horizontal="center"/>
    </xf>
    <xf numFmtId="3" fontId="15" fillId="5" borderId="88" xfId="0" applyNumberFormat="1" applyFont="1" applyFill="1" applyBorder="1" applyAlignment="1">
      <alignment horizontal="center"/>
    </xf>
    <xf numFmtId="3" fontId="15" fillId="8" borderId="85" xfId="0" applyNumberFormat="1" applyFont="1" applyFill="1" applyBorder="1" applyAlignment="1">
      <alignment horizontal="center"/>
    </xf>
    <xf numFmtId="166" fontId="15" fillId="8" borderId="85" xfId="0" applyNumberFormat="1" applyFont="1" applyFill="1" applyBorder="1" applyAlignment="1">
      <alignment horizontal="center"/>
    </xf>
    <xf numFmtId="3" fontId="15" fillId="8" borderId="88" xfId="0" applyNumberFormat="1" applyFont="1" applyFill="1" applyBorder="1" applyAlignment="1">
      <alignment horizontal="center"/>
    </xf>
    <xf numFmtId="164" fontId="9" fillId="8" borderId="92" xfId="0" applyNumberFormat="1" applyFont="1" applyFill="1" applyBorder="1" applyAlignment="1">
      <alignment horizontal="center"/>
    </xf>
    <xf numFmtId="3" fontId="13" fillId="3" borderId="93" xfId="0" applyNumberFormat="1" applyFont="1" applyFill="1" applyBorder="1" applyAlignment="1">
      <alignment horizontal="center"/>
    </xf>
    <xf numFmtId="3" fontId="13" fillId="3" borderId="86" xfId="0" applyNumberFormat="1" applyFont="1" applyFill="1" applyBorder="1" applyAlignment="1">
      <alignment horizontal="center"/>
    </xf>
    <xf numFmtId="3" fontId="13" fillId="3" borderId="87" xfId="0" applyNumberFormat="1" applyFont="1" applyFill="1" applyBorder="1" applyAlignment="1">
      <alignment horizontal="center"/>
    </xf>
    <xf numFmtId="166" fontId="13" fillId="3" borderId="87" xfId="0" applyNumberFormat="1" applyFont="1" applyFill="1" applyBorder="1" applyAlignment="1">
      <alignment horizontal="center"/>
    </xf>
    <xf numFmtId="164" fontId="13" fillId="3" borderId="94" xfId="0" applyNumberFormat="1" applyFont="1" applyFill="1" applyBorder="1" applyAlignment="1">
      <alignment horizontal="center"/>
    </xf>
    <xf numFmtId="4" fontId="9" fillId="8" borderId="83" xfId="0" applyNumberFormat="1" applyFont="1" applyFill="1" applyBorder="1" applyAlignment="1">
      <alignment horizontal="center"/>
    </xf>
    <xf numFmtId="4" fontId="9" fillId="5" borderId="2" xfId="0" applyNumberFormat="1" applyFont="1" applyFill="1" applyBorder="1" applyAlignment="1">
      <alignment horizontal="center"/>
    </xf>
    <xf numFmtId="4" fontId="9" fillId="8" borderId="2" xfId="0" applyNumberFormat="1" applyFont="1" applyFill="1" applyBorder="1" applyAlignment="1">
      <alignment horizontal="center"/>
    </xf>
    <xf numFmtId="4" fontId="9" fillId="8" borderId="91" xfId="0" applyNumberFormat="1" applyFont="1" applyFill="1" applyBorder="1" applyAlignment="1">
      <alignment horizontal="center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2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5" fillId="17" borderId="0" xfId="0" applyFont="1" applyFill="1"/>
    <xf numFmtId="0" fontId="5" fillId="17" borderId="0" xfId="0" applyFont="1" applyFill="1" applyAlignment="1">
      <alignment horizontal="center"/>
    </xf>
    <xf numFmtId="0" fontId="5" fillId="17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18" borderId="0" xfId="0" applyFill="1" applyAlignment="1">
      <alignment horizontal="center"/>
    </xf>
    <xf numFmtId="0" fontId="10" fillId="18" borderId="0" xfId="0" applyFont="1" applyFill="1" applyAlignment="1">
      <alignment horizontal="center"/>
    </xf>
    <xf numFmtId="0" fontId="9" fillId="18" borderId="0" xfId="0" applyFont="1" applyFill="1"/>
    <xf numFmtId="0" fontId="9" fillId="18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47" fillId="0" borderId="0" xfId="0" applyFont="1"/>
    <xf numFmtId="0" fontId="5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48" fillId="20" borderId="0" xfId="0" applyFont="1" applyFill="1"/>
    <xf numFmtId="0" fontId="49" fillId="21" borderId="0" xfId="0" applyFont="1" applyFill="1"/>
    <xf numFmtId="0" fontId="50" fillId="22" borderId="0" xfId="0" applyFont="1" applyFill="1"/>
    <xf numFmtId="0" fontId="51" fillId="19" borderId="0" xfId="0" applyFont="1" applyFill="1"/>
    <xf numFmtId="0" fontId="52" fillId="17" borderId="0" xfId="0" applyFont="1" applyFill="1" applyAlignment="1">
      <alignment horizontal="center" wrapText="1"/>
    </xf>
    <xf numFmtId="0" fontId="53" fillId="0" borderId="0" xfId="0" applyFont="1"/>
    <xf numFmtId="0" fontId="45" fillId="0" borderId="0" xfId="0" applyFont="1" applyAlignment="1">
      <alignment wrapText="1"/>
    </xf>
    <xf numFmtId="0" fontId="54" fillId="0" borderId="0" xfId="0" applyFont="1" applyAlignment="1">
      <alignment horizontal="center"/>
    </xf>
    <xf numFmtId="0" fontId="12" fillId="2" borderId="0" xfId="0" applyFont="1" applyFill="1"/>
    <xf numFmtId="0" fontId="12" fillId="8" borderId="0" xfId="0" applyFont="1" applyFill="1"/>
    <xf numFmtId="164" fontId="55" fillId="8" borderId="0" xfId="0" applyNumberFormat="1" applyFont="1" applyFill="1"/>
    <xf numFmtId="0" fontId="12" fillId="6" borderId="0" xfId="0" applyFont="1" applyFill="1"/>
    <xf numFmtId="0" fontId="12" fillId="6" borderId="0" xfId="0" applyFont="1" applyFill="1" applyAlignment="1">
      <alignment horizontal="left"/>
    </xf>
    <xf numFmtId="0" fontId="9" fillId="23" borderId="0" xfId="0" applyFont="1" applyFill="1"/>
    <xf numFmtId="0" fontId="56" fillId="8" borderId="0" xfId="0" applyFont="1" applyFill="1" applyAlignment="1">
      <alignment horizontal="left"/>
    </xf>
    <xf numFmtId="0" fontId="15" fillId="8" borderId="0" xfId="0" applyFont="1" applyFill="1" applyAlignment="1">
      <alignment horizontal="left"/>
    </xf>
    <xf numFmtId="3" fontId="15" fillId="8" borderId="0" xfId="0" applyNumberFormat="1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164" fontId="15" fillId="8" borderId="0" xfId="0" applyNumberFormat="1" applyFont="1" applyFill="1" applyAlignment="1">
      <alignment horizontal="center"/>
    </xf>
    <xf numFmtId="166" fontId="15" fillId="8" borderId="0" xfId="0" applyNumberFormat="1" applyFont="1" applyFill="1" applyAlignment="1">
      <alignment horizontal="center"/>
    </xf>
    <xf numFmtId="0" fontId="16" fillId="23" borderId="0" xfId="0" applyFont="1" applyFill="1" applyAlignment="1">
      <alignment horizontal="left"/>
    </xf>
    <xf numFmtId="3" fontId="16" fillId="23" borderId="0" xfId="0" applyNumberFormat="1" applyFont="1" applyFill="1" applyAlignment="1">
      <alignment horizontal="center"/>
    </xf>
    <xf numFmtId="165" fontId="16" fillId="23" borderId="0" xfId="0" applyNumberFormat="1" applyFont="1" applyFill="1" applyAlignment="1">
      <alignment horizontal="center"/>
    </xf>
    <xf numFmtId="164" fontId="16" fillId="23" borderId="0" xfId="0" applyNumberFormat="1" applyFont="1" applyFill="1" applyAlignment="1">
      <alignment horizontal="center"/>
    </xf>
    <xf numFmtId="166" fontId="16" fillId="23" borderId="0" xfId="0" applyNumberFormat="1" applyFont="1" applyFill="1" applyAlignment="1">
      <alignment horizontal="center"/>
    </xf>
    <xf numFmtId="0" fontId="12" fillId="6" borderId="95" xfId="0" applyFont="1" applyFill="1" applyBorder="1" applyAlignment="1">
      <alignment horizontal="center" vertical="center"/>
    </xf>
    <xf numFmtId="0" fontId="37" fillId="11" borderId="96" xfId="0" applyFont="1" applyFill="1" applyBorder="1" applyAlignment="1">
      <alignment vertical="center"/>
    </xf>
    <xf numFmtId="0" fontId="37" fillId="5" borderId="97" xfId="0" applyFont="1" applyFill="1" applyBorder="1" applyAlignment="1">
      <alignment vertical="center"/>
    </xf>
    <xf numFmtId="0" fontId="37" fillId="11" borderId="97" xfId="0" applyFont="1" applyFill="1" applyBorder="1" applyAlignment="1">
      <alignment vertical="center"/>
    </xf>
    <xf numFmtId="0" fontId="37" fillId="11" borderId="98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15"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C3E6C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C3E6CB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155724"/>
      </font>
      <fill>
        <patternFill patternType="solid">
          <fgColor indexed="64"/>
          <bgColor rgb="FFC3E6C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f89153-91bc-44e8-9126-1cc0301330ce}">
  <we:reference id="WA200009404" version="1.0.0.5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0635-D205-F347-8E55-129B38F028A2}">
  <dimension ref="A1:V281"/>
  <sheetViews>
    <sheetView tabSelected="1" zoomScaleNormal="100" workbookViewId="0">
      <selection activeCell="D7" sqref="D7"/>
    </sheetView>
  </sheetViews>
  <sheetFormatPr baseColWidth="10" defaultRowHeight="16" x14ac:dyDescent="0.2"/>
  <cols>
    <col min="1" max="1" width="3.83203125" customWidth="1"/>
    <col min="2" max="2" width="7.1640625" customWidth="1"/>
    <col min="3" max="4" width="13.33203125" customWidth="1"/>
    <col min="5" max="6" width="12.5" customWidth="1"/>
    <col min="7" max="7" width="10" customWidth="1"/>
    <col min="8" max="8" width="43.33203125" customWidth="1"/>
    <col min="10" max="10" width="4.1640625" bestFit="1" customWidth="1"/>
    <col min="11" max="11" width="31.1640625" bestFit="1" customWidth="1"/>
    <col min="12" max="12" width="15.83203125" customWidth="1"/>
    <col min="13" max="13" width="8" bestFit="1" customWidth="1"/>
    <col min="14" max="14" width="15" customWidth="1"/>
    <col min="15" max="15" width="15.83203125" customWidth="1"/>
    <col min="16" max="16" width="13.33203125" customWidth="1"/>
    <col min="17" max="18" width="14.1640625" customWidth="1"/>
    <col min="19" max="19" width="32.83203125" bestFit="1" customWidth="1"/>
  </cols>
  <sheetData>
    <row r="1" spans="1:22" ht="28" customHeight="1" x14ac:dyDescent="0.2">
      <c r="A1" s="319"/>
      <c r="B1" s="226" t="s">
        <v>206</v>
      </c>
      <c r="C1" s="183"/>
      <c r="D1" s="183"/>
      <c r="E1" s="183"/>
      <c r="F1" s="223"/>
      <c r="G1" s="223"/>
      <c r="H1" s="223"/>
      <c r="I1" s="224"/>
      <c r="J1" s="225"/>
      <c r="K1" s="183"/>
      <c r="L1" s="183"/>
      <c r="M1" s="183"/>
      <c r="N1" s="183"/>
      <c r="O1" s="183"/>
      <c r="P1" s="183"/>
      <c r="Q1" s="183"/>
      <c r="R1" s="183"/>
      <c r="S1" s="183"/>
    </row>
    <row r="2" spans="1:22" ht="16" customHeight="1" x14ac:dyDescent="0.2">
      <c r="A2" s="319"/>
      <c r="B2" s="321" t="s">
        <v>218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</row>
    <row r="3" spans="1:22" ht="18" customHeight="1" x14ac:dyDescent="0.2">
      <c r="A3" s="319"/>
      <c r="B3" s="323" t="s">
        <v>219</v>
      </c>
      <c r="C3" s="322" t="s">
        <v>309</v>
      </c>
      <c r="D3" s="322" t="s">
        <v>310</v>
      </c>
      <c r="E3" s="322" t="s">
        <v>291</v>
      </c>
      <c r="F3" s="322" t="s">
        <v>292</v>
      </c>
      <c r="G3" s="322" t="s">
        <v>293</v>
      </c>
      <c r="H3" s="322" t="s">
        <v>294</v>
      </c>
      <c r="I3" s="322" t="s">
        <v>295</v>
      </c>
      <c r="J3" s="322" t="s">
        <v>296</v>
      </c>
      <c r="K3" s="322" t="s">
        <v>297</v>
      </c>
      <c r="L3" s="322" t="s">
        <v>298</v>
      </c>
      <c r="M3" s="322" t="s">
        <v>299</v>
      </c>
      <c r="N3" s="322" t="s">
        <v>300</v>
      </c>
      <c r="O3" s="322" t="s">
        <v>301</v>
      </c>
      <c r="P3" s="322" t="s">
        <v>302</v>
      </c>
      <c r="Q3" s="322" t="s">
        <v>303</v>
      </c>
      <c r="R3" s="413" t="s">
        <v>304</v>
      </c>
      <c r="S3" s="324" t="s">
        <v>305</v>
      </c>
      <c r="T3" t="s">
        <v>306</v>
      </c>
      <c r="U3" t="s">
        <v>307</v>
      </c>
      <c r="V3" t="s">
        <v>308</v>
      </c>
    </row>
    <row r="4" spans="1:22" ht="15" customHeight="1" x14ac:dyDescent="0.2">
      <c r="A4" s="319"/>
      <c r="B4" s="235">
        <v>1</v>
      </c>
      <c r="C4" s="239"/>
      <c r="D4" s="239"/>
      <c r="E4" s="239">
        <v>1</v>
      </c>
      <c r="F4" s="239">
        <v>5400</v>
      </c>
      <c r="G4" s="239">
        <v>5.4</v>
      </c>
      <c r="H4" s="243">
        <v>2</v>
      </c>
      <c r="I4" s="247">
        <v>2</v>
      </c>
      <c r="J4" s="239"/>
      <c r="K4" s="239" t="s">
        <v>281</v>
      </c>
      <c r="L4" s="239">
        <v>8095</v>
      </c>
      <c r="M4" s="243">
        <v>2</v>
      </c>
      <c r="N4" s="247">
        <v>2</v>
      </c>
      <c r="O4" s="239"/>
      <c r="P4" s="239" t="s">
        <v>205</v>
      </c>
      <c r="Q4" s="227" t="s">
        <v>203</v>
      </c>
      <c r="R4" s="414">
        <v>1</v>
      </c>
      <c r="S4" s="228">
        <v>40.718975</v>
      </c>
      <c r="T4">
        <v>-74.010756999999998</v>
      </c>
      <c r="V4" t="s">
        <v>282</v>
      </c>
    </row>
    <row r="5" spans="1:22" ht="15" customHeight="1" x14ac:dyDescent="0.2">
      <c r="A5" s="319"/>
      <c r="B5" s="236">
        <v>2</v>
      </c>
      <c r="C5" s="240"/>
      <c r="D5" s="240"/>
      <c r="E5" s="240">
        <v>2</v>
      </c>
      <c r="F5" s="240">
        <v>5432</v>
      </c>
      <c r="G5" s="240">
        <v>5.4320000000000004</v>
      </c>
      <c r="H5" s="244">
        <v>2</v>
      </c>
      <c r="I5" s="248">
        <v>2</v>
      </c>
      <c r="J5" s="240"/>
      <c r="K5" s="240" t="s">
        <v>283</v>
      </c>
      <c r="L5" s="240">
        <v>8295</v>
      </c>
      <c r="M5" s="244">
        <v>2</v>
      </c>
      <c r="N5" s="248">
        <v>2</v>
      </c>
      <c r="O5" s="240"/>
      <c r="P5" s="240" t="s">
        <v>205</v>
      </c>
      <c r="Q5" s="229" t="s">
        <v>203</v>
      </c>
      <c r="R5" s="415">
        <v>1</v>
      </c>
      <c r="S5" s="230">
        <v>40.719585000000002</v>
      </c>
      <c r="T5">
        <v>-74.010941000000003</v>
      </c>
      <c r="V5" t="s">
        <v>284</v>
      </c>
    </row>
    <row r="6" spans="1:22" ht="15" customHeight="1" x14ac:dyDescent="0.2">
      <c r="A6" s="319"/>
      <c r="B6" s="237">
        <v>3</v>
      </c>
      <c r="C6" s="241"/>
      <c r="D6" s="241"/>
      <c r="E6" s="241">
        <v>3</v>
      </c>
      <c r="F6" s="241">
        <v>5502</v>
      </c>
      <c r="G6" s="241">
        <v>5.5019999999999998</v>
      </c>
      <c r="H6" s="245">
        <v>2</v>
      </c>
      <c r="I6" s="249">
        <v>2</v>
      </c>
      <c r="J6" s="241"/>
      <c r="K6" s="241" t="s">
        <v>285</v>
      </c>
      <c r="L6" s="241">
        <v>6600</v>
      </c>
      <c r="M6" s="245">
        <v>2</v>
      </c>
      <c r="N6" s="249">
        <v>2</v>
      </c>
      <c r="O6" s="241">
        <v>630</v>
      </c>
      <c r="P6" s="241" t="s">
        <v>205</v>
      </c>
      <c r="Q6" s="231" t="s">
        <v>203</v>
      </c>
      <c r="R6" s="416">
        <v>1</v>
      </c>
      <c r="S6" s="232">
        <v>40.736609999999999</v>
      </c>
      <c r="T6">
        <v>-74.001289</v>
      </c>
      <c r="V6" t="s">
        <v>286</v>
      </c>
    </row>
    <row r="7" spans="1:22" ht="15" customHeight="1" x14ac:dyDescent="0.2">
      <c r="A7" s="319"/>
      <c r="B7" s="236">
        <v>4</v>
      </c>
      <c r="C7" s="240"/>
      <c r="D7" s="240"/>
      <c r="E7" s="240">
        <v>4</v>
      </c>
      <c r="F7" s="240">
        <v>7146</v>
      </c>
      <c r="G7" s="240">
        <v>7.1459999999999999</v>
      </c>
      <c r="H7" s="244">
        <v>2</v>
      </c>
      <c r="I7" s="248">
        <v>2</v>
      </c>
      <c r="J7" s="240"/>
      <c r="K7" s="240" t="s">
        <v>287</v>
      </c>
      <c r="L7" s="240">
        <v>7100</v>
      </c>
      <c r="M7" s="244">
        <v>2</v>
      </c>
      <c r="N7" s="248">
        <v>2</v>
      </c>
      <c r="O7" s="240">
        <v>1145</v>
      </c>
      <c r="P7" s="240" t="s">
        <v>205</v>
      </c>
      <c r="Q7" s="229" t="s">
        <v>203</v>
      </c>
      <c r="R7" s="415">
        <v>1</v>
      </c>
      <c r="S7" s="230">
        <v>40.771740000000001</v>
      </c>
      <c r="T7">
        <v>-73.950728999999995</v>
      </c>
      <c r="V7" t="s">
        <v>288</v>
      </c>
    </row>
    <row r="8" spans="1:22" ht="15" customHeight="1" x14ac:dyDescent="0.2">
      <c r="A8" s="319"/>
      <c r="B8" s="237">
        <v>5</v>
      </c>
      <c r="C8" s="241"/>
      <c r="D8" s="241"/>
      <c r="E8" s="241">
        <v>5</v>
      </c>
      <c r="F8" s="241">
        <v>9049</v>
      </c>
      <c r="G8" s="241">
        <v>9.0489999999999995</v>
      </c>
      <c r="H8" s="245">
        <v>2</v>
      </c>
      <c r="I8" s="249">
        <v>2</v>
      </c>
      <c r="J8" s="241"/>
      <c r="K8" s="241" t="s">
        <v>289</v>
      </c>
      <c r="L8" s="241">
        <v>7600</v>
      </c>
      <c r="M8" s="245">
        <v>2</v>
      </c>
      <c r="N8" s="249">
        <v>2</v>
      </c>
      <c r="O8" s="241"/>
      <c r="P8" s="241" t="s">
        <v>205</v>
      </c>
      <c r="Q8" s="231" t="s">
        <v>203</v>
      </c>
      <c r="R8" s="416">
        <v>1</v>
      </c>
      <c r="S8" s="232">
        <v>40.786712999999999</v>
      </c>
      <c r="T8">
        <v>-73.973106000000001</v>
      </c>
      <c r="V8" t="s">
        <v>290</v>
      </c>
    </row>
    <row r="9" spans="1:22" ht="15" customHeight="1" x14ac:dyDescent="0.2">
      <c r="A9" s="319"/>
      <c r="B9" s="236"/>
      <c r="C9" s="240"/>
      <c r="D9" s="240"/>
      <c r="E9" s="240"/>
      <c r="F9" s="240"/>
      <c r="G9" s="240"/>
      <c r="H9" s="244"/>
      <c r="I9" s="248"/>
      <c r="J9" s="240"/>
      <c r="K9" s="240"/>
      <c r="L9" s="240"/>
      <c r="M9" s="244"/>
      <c r="N9" s="248"/>
      <c r="O9" s="240"/>
      <c r="P9" s="240"/>
      <c r="Q9" s="229"/>
      <c r="R9" s="415"/>
      <c r="S9" s="230"/>
    </row>
    <row r="10" spans="1:22" ht="15" customHeight="1" x14ac:dyDescent="0.2">
      <c r="A10" s="319"/>
      <c r="B10" s="237"/>
      <c r="C10" s="241"/>
      <c r="D10" s="241"/>
      <c r="E10" s="241"/>
      <c r="F10" s="241"/>
      <c r="G10" s="241"/>
      <c r="H10" s="245"/>
      <c r="I10" s="249"/>
      <c r="J10" s="241"/>
      <c r="K10" s="241"/>
      <c r="L10" s="241"/>
      <c r="M10" s="245"/>
      <c r="N10" s="249"/>
      <c r="O10" s="241"/>
      <c r="P10" s="241"/>
      <c r="Q10" s="231"/>
      <c r="R10" s="416"/>
      <c r="S10" s="232"/>
    </row>
    <row r="11" spans="1:22" ht="15" customHeight="1" x14ac:dyDescent="0.2">
      <c r="A11" s="319"/>
      <c r="B11" s="236"/>
      <c r="C11" s="240"/>
      <c r="D11" s="240"/>
      <c r="E11" s="240"/>
      <c r="F11" s="240"/>
      <c r="G11" s="240"/>
      <c r="H11" s="244"/>
      <c r="I11" s="248"/>
      <c r="J11" s="240"/>
      <c r="K11" s="240"/>
      <c r="L11" s="240"/>
      <c r="M11" s="244"/>
      <c r="N11" s="248"/>
      <c r="O11" s="240"/>
      <c r="P11" s="240"/>
      <c r="Q11" s="229"/>
      <c r="R11" s="415"/>
      <c r="S11" s="230"/>
    </row>
    <row r="12" spans="1:22" ht="15" customHeight="1" x14ac:dyDescent="0.2">
      <c r="A12" s="319"/>
      <c r="B12" s="237"/>
      <c r="C12" s="241"/>
      <c r="D12" s="241"/>
      <c r="E12" s="241"/>
      <c r="F12" s="241"/>
      <c r="G12" s="241"/>
      <c r="H12" s="245"/>
      <c r="I12" s="249"/>
      <c r="J12" s="241"/>
      <c r="K12" s="241"/>
      <c r="L12" s="241"/>
      <c r="M12" s="245"/>
      <c r="N12" s="249"/>
      <c r="O12" s="241"/>
      <c r="P12" s="241"/>
      <c r="Q12" s="231"/>
      <c r="R12" s="416"/>
      <c r="S12" s="232"/>
    </row>
    <row r="13" spans="1:22" ht="15" customHeight="1" x14ac:dyDescent="0.2">
      <c r="A13" s="319"/>
      <c r="B13" s="236"/>
      <c r="C13" s="240"/>
      <c r="D13" s="240"/>
      <c r="E13" s="240"/>
      <c r="F13" s="240"/>
      <c r="G13" s="240"/>
      <c r="H13" s="244"/>
      <c r="I13" s="248"/>
      <c r="J13" s="240"/>
      <c r="K13" s="240"/>
      <c r="L13" s="240"/>
      <c r="M13" s="244"/>
      <c r="N13" s="248"/>
      <c r="O13" s="240"/>
      <c r="P13" s="240"/>
      <c r="Q13" s="229"/>
      <c r="R13" s="415"/>
      <c r="S13" s="230"/>
    </row>
    <row r="14" spans="1:22" ht="15" customHeight="1" x14ac:dyDescent="0.2">
      <c r="A14" s="319"/>
      <c r="B14" s="237"/>
      <c r="C14" s="241"/>
      <c r="D14" s="241"/>
      <c r="E14" s="241"/>
      <c r="F14" s="241"/>
      <c r="G14" s="241"/>
      <c r="H14" s="245"/>
      <c r="I14" s="249"/>
      <c r="J14" s="241"/>
      <c r="K14" s="241"/>
      <c r="L14" s="241"/>
      <c r="M14" s="245"/>
      <c r="N14" s="249"/>
      <c r="O14" s="241"/>
      <c r="P14" s="241"/>
      <c r="Q14" s="231"/>
      <c r="R14" s="416"/>
      <c r="S14" s="232"/>
    </row>
    <row r="15" spans="1:22" ht="15" customHeight="1" x14ac:dyDescent="0.2">
      <c r="A15" s="319"/>
      <c r="B15" s="236"/>
      <c r="C15" s="240"/>
      <c r="D15" s="240"/>
      <c r="E15" s="240"/>
      <c r="F15" s="240"/>
      <c r="G15" s="240"/>
      <c r="H15" s="244"/>
      <c r="I15" s="248"/>
      <c r="J15" s="240"/>
      <c r="K15" s="240"/>
      <c r="L15" s="240"/>
      <c r="M15" s="244"/>
      <c r="N15" s="248"/>
      <c r="O15" s="240"/>
      <c r="P15" s="240"/>
      <c r="Q15" s="229"/>
      <c r="R15" s="415"/>
      <c r="S15" s="230"/>
    </row>
    <row r="16" spans="1:22" ht="15" customHeight="1" x14ac:dyDescent="0.2">
      <c r="A16" s="319"/>
      <c r="B16" s="237"/>
      <c r="C16" s="241"/>
      <c r="D16" s="241"/>
      <c r="E16" s="241"/>
      <c r="F16" s="241"/>
      <c r="G16" s="241"/>
      <c r="H16" s="245"/>
      <c r="I16" s="249"/>
      <c r="J16" s="241"/>
      <c r="K16" s="241"/>
      <c r="L16" s="241"/>
      <c r="M16" s="245"/>
      <c r="N16" s="249"/>
      <c r="O16" s="241"/>
      <c r="P16" s="241"/>
      <c r="Q16" s="231"/>
      <c r="R16" s="416"/>
      <c r="S16" s="232"/>
    </row>
    <row r="17" spans="1:19" ht="15" customHeight="1" x14ac:dyDescent="0.2">
      <c r="A17" s="319"/>
      <c r="B17" s="236"/>
      <c r="C17" s="240"/>
      <c r="D17" s="240"/>
      <c r="E17" s="240"/>
      <c r="F17" s="240"/>
      <c r="G17" s="240"/>
      <c r="H17" s="244"/>
      <c r="I17" s="248"/>
      <c r="J17" s="240"/>
      <c r="K17" s="240"/>
      <c r="L17" s="240"/>
      <c r="M17" s="244"/>
      <c r="N17" s="248"/>
      <c r="O17" s="240"/>
      <c r="P17" s="240"/>
      <c r="Q17" s="229"/>
      <c r="R17" s="415"/>
      <c r="S17" s="230"/>
    </row>
    <row r="18" spans="1:19" ht="15" customHeight="1" x14ac:dyDescent="0.2">
      <c r="A18" s="319"/>
      <c r="B18" s="237"/>
      <c r="C18" s="241"/>
      <c r="D18" s="241"/>
      <c r="E18" s="241"/>
      <c r="F18" s="241"/>
      <c r="G18" s="241"/>
      <c r="H18" s="245"/>
      <c r="I18" s="249"/>
      <c r="J18" s="241"/>
      <c r="K18" s="241"/>
      <c r="L18" s="241"/>
      <c r="M18" s="245"/>
      <c r="N18" s="249"/>
      <c r="O18" s="241"/>
      <c r="P18" s="241"/>
      <c r="Q18" s="231"/>
      <c r="R18" s="416"/>
      <c r="S18" s="232"/>
    </row>
    <row r="19" spans="1:19" ht="15" customHeight="1" x14ac:dyDescent="0.2">
      <c r="A19" s="319"/>
      <c r="B19" s="236"/>
      <c r="C19" s="240"/>
      <c r="D19" s="240"/>
      <c r="E19" s="240"/>
      <c r="F19" s="240"/>
      <c r="G19" s="240"/>
      <c r="H19" s="244"/>
      <c r="I19" s="248"/>
      <c r="J19" s="240"/>
      <c r="K19" s="240"/>
      <c r="L19" s="240"/>
      <c r="M19" s="244"/>
      <c r="N19" s="248"/>
      <c r="O19" s="240"/>
      <c r="P19" s="240"/>
      <c r="Q19" s="229"/>
      <c r="R19" s="415"/>
      <c r="S19" s="230"/>
    </row>
    <row r="20" spans="1:19" ht="15" customHeight="1" x14ac:dyDescent="0.2">
      <c r="A20" s="319"/>
      <c r="B20" s="237"/>
      <c r="C20" s="241"/>
      <c r="D20" s="241"/>
      <c r="E20" s="241"/>
      <c r="F20" s="241"/>
      <c r="G20" s="241"/>
      <c r="H20" s="245"/>
      <c r="I20" s="249"/>
      <c r="J20" s="241"/>
      <c r="K20" s="241"/>
      <c r="L20" s="241"/>
      <c r="M20" s="245"/>
      <c r="N20" s="249"/>
      <c r="O20" s="241"/>
      <c r="P20" s="241"/>
      <c r="Q20" s="231"/>
      <c r="R20" s="416"/>
      <c r="S20" s="232"/>
    </row>
    <row r="21" spans="1:19" ht="15" customHeight="1" x14ac:dyDescent="0.2">
      <c r="A21" s="319"/>
      <c r="B21" s="236"/>
      <c r="C21" s="240"/>
      <c r="D21" s="240"/>
      <c r="E21" s="240"/>
      <c r="F21" s="240"/>
      <c r="G21" s="240"/>
      <c r="H21" s="244"/>
      <c r="I21" s="248"/>
      <c r="J21" s="240"/>
      <c r="K21" s="240"/>
      <c r="L21" s="240"/>
      <c r="M21" s="244"/>
      <c r="N21" s="248"/>
      <c r="O21" s="240"/>
      <c r="P21" s="240"/>
      <c r="Q21" s="229"/>
      <c r="R21" s="415"/>
      <c r="S21" s="230"/>
    </row>
    <row r="22" spans="1:19" ht="15" customHeight="1" x14ac:dyDescent="0.2">
      <c r="A22" s="319"/>
      <c r="B22" s="236"/>
      <c r="C22" s="240"/>
      <c r="D22" s="240"/>
      <c r="E22" s="240"/>
      <c r="F22" s="240"/>
      <c r="G22" s="240"/>
      <c r="H22" s="244"/>
      <c r="I22" s="248"/>
      <c r="J22" s="240"/>
      <c r="K22" s="240"/>
      <c r="L22" s="240"/>
      <c r="M22" s="244"/>
      <c r="N22" s="248"/>
      <c r="O22" s="240"/>
      <c r="P22" s="240"/>
      <c r="Q22" s="229"/>
      <c r="R22" s="415"/>
      <c r="S22" s="230"/>
    </row>
    <row r="23" spans="1:19" ht="15" customHeight="1" x14ac:dyDescent="0.2">
      <c r="A23" s="319"/>
      <c r="B23" s="237"/>
      <c r="C23" s="241"/>
      <c r="D23" s="241"/>
      <c r="E23" s="241"/>
      <c r="F23" s="241"/>
      <c r="G23" s="241"/>
      <c r="H23" s="245"/>
      <c r="I23" s="249"/>
      <c r="J23" s="241"/>
      <c r="K23" s="241"/>
      <c r="L23" s="241"/>
      <c r="M23" s="245"/>
      <c r="N23" s="249"/>
      <c r="O23" s="241"/>
      <c r="P23" s="241"/>
      <c r="Q23" s="231"/>
      <c r="R23" s="416"/>
      <c r="S23" s="232"/>
    </row>
    <row r="24" spans="1:19" x14ac:dyDescent="0.2">
      <c r="B24" s="236"/>
      <c r="C24" s="240"/>
      <c r="D24" s="240"/>
      <c r="E24" s="240"/>
      <c r="F24" s="240"/>
      <c r="G24" s="240"/>
      <c r="H24" s="244"/>
      <c r="I24" s="248"/>
      <c r="J24" s="240"/>
      <c r="K24" s="240"/>
      <c r="L24" s="240"/>
      <c r="M24" s="244"/>
      <c r="N24" s="248"/>
      <c r="O24" s="240"/>
      <c r="P24" s="240"/>
      <c r="Q24" s="229"/>
      <c r="R24" s="415"/>
      <c r="S24" s="230"/>
    </row>
    <row r="25" spans="1:19" x14ac:dyDescent="0.2">
      <c r="B25" s="237"/>
      <c r="C25" s="241"/>
      <c r="D25" s="241"/>
      <c r="E25" s="241"/>
      <c r="F25" s="241"/>
      <c r="G25" s="241"/>
      <c r="H25" s="245"/>
      <c r="I25" s="249"/>
      <c r="J25" s="241"/>
      <c r="K25" s="241"/>
      <c r="L25" s="241"/>
      <c r="M25" s="245"/>
      <c r="N25" s="249"/>
      <c r="O25" s="241"/>
      <c r="P25" s="241"/>
      <c r="Q25" s="231"/>
      <c r="R25" s="416"/>
      <c r="S25" s="232"/>
    </row>
    <row r="26" spans="1:19" x14ac:dyDescent="0.2">
      <c r="B26" s="236"/>
      <c r="C26" s="240"/>
      <c r="D26" s="240"/>
      <c r="E26" s="240"/>
      <c r="F26" s="240"/>
      <c r="G26" s="240"/>
      <c r="H26" s="244"/>
      <c r="I26" s="248"/>
      <c r="J26" s="240"/>
      <c r="K26" s="240"/>
      <c r="L26" s="240"/>
      <c r="M26" s="244"/>
      <c r="N26" s="248"/>
      <c r="O26" s="240"/>
      <c r="P26" s="240"/>
      <c r="Q26" s="229"/>
      <c r="R26" s="415"/>
      <c r="S26" s="230"/>
    </row>
    <row r="27" spans="1:19" ht="17" customHeight="1" x14ac:dyDescent="0.2">
      <c r="B27" s="237"/>
      <c r="C27" s="241"/>
      <c r="D27" s="241"/>
      <c r="E27" s="241"/>
      <c r="F27" s="241"/>
      <c r="G27" s="241"/>
      <c r="H27" s="245"/>
      <c r="I27" s="249"/>
      <c r="J27" s="241"/>
      <c r="K27" s="241"/>
      <c r="L27" s="241"/>
      <c r="M27" s="245"/>
      <c r="N27" s="249"/>
      <c r="O27" s="241"/>
      <c r="P27" s="241"/>
      <c r="Q27" s="231"/>
      <c r="R27" s="416"/>
      <c r="S27" s="232"/>
    </row>
    <row r="28" spans="1:19" ht="17" customHeight="1" x14ac:dyDescent="0.2">
      <c r="B28" s="236"/>
      <c r="C28" s="240"/>
      <c r="D28" s="240"/>
      <c r="E28" s="240"/>
      <c r="F28" s="240"/>
      <c r="G28" s="240"/>
      <c r="H28" s="244"/>
      <c r="I28" s="248"/>
      <c r="J28" s="240"/>
      <c r="K28" s="240"/>
      <c r="L28" s="240"/>
      <c r="M28" s="244"/>
      <c r="N28" s="248"/>
      <c r="O28" s="240"/>
      <c r="P28" s="240"/>
      <c r="Q28" s="229"/>
      <c r="R28" s="415"/>
      <c r="S28" s="230"/>
    </row>
    <row r="29" spans="1:19" x14ac:dyDescent="0.2">
      <c r="B29" s="237"/>
      <c r="C29" s="241"/>
      <c r="D29" s="241"/>
      <c r="E29" s="241"/>
      <c r="F29" s="241"/>
      <c r="G29" s="241"/>
      <c r="H29" s="245"/>
      <c r="I29" s="249"/>
      <c r="J29" s="241"/>
      <c r="K29" s="241"/>
      <c r="L29" s="241"/>
      <c r="M29" s="245"/>
      <c r="N29" s="249"/>
      <c r="O29" s="241"/>
      <c r="P29" s="241"/>
      <c r="Q29" s="231"/>
      <c r="R29" s="416"/>
      <c r="S29" s="232"/>
    </row>
    <row r="30" spans="1:19" x14ac:dyDescent="0.2">
      <c r="B30" s="236"/>
      <c r="C30" s="240"/>
      <c r="D30" s="240"/>
      <c r="E30" s="240"/>
      <c r="F30" s="240"/>
      <c r="G30" s="240"/>
      <c r="H30" s="244"/>
      <c r="I30" s="248"/>
      <c r="J30" s="240"/>
      <c r="K30" s="240"/>
      <c r="L30" s="240"/>
      <c r="M30" s="244"/>
      <c r="N30" s="248"/>
      <c r="O30" s="240"/>
      <c r="P30" s="240"/>
      <c r="Q30" s="229"/>
      <c r="R30" s="415"/>
      <c r="S30" s="230"/>
    </row>
    <row r="31" spans="1:19" ht="17" customHeight="1" x14ac:dyDescent="0.2">
      <c r="B31" s="237"/>
      <c r="C31" s="241"/>
      <c r="D31" s="241"/>
      <c r="E31" s="241"/>
      <c r="F31" s="241"/>
      <c r="G31" s="241"/>
      <c r="H31" s="245"/>
      <c r="I31" s="249"/>
      <c r="J31" s="241"/>
      <c r="K31" s="241"/>
      <c r="L31" s="241"/>
      <c r="M31" s="245"/>
      <c r="N31" s="249"/>
      <c r="O31" s="241"/>
      <c r="P31" s="241"/>
      <c r="Q31" s="231"/>
      <c r="R31" s="416"/>
      <c r="S31" s="232"/>
    </row>
    <row r="32" spans="1:19" x14ac:dyDescent="0.2">
      <c r="B32" s="236"/>
      <c r="C32" s="240"/>
      <c r="D32" s="240"/>
      <c r="E32" s="240"/>
      <c r="F32" s="240"/>
      <c r="G32" s="240"/>
      <c r="H32" s="244"/>
      <c r="I32" s="248"/>
      <c r="J32" s="240"/>
      <c r="K32" s="240"/>
      <c r="L32" s="240"/>
      <c r="M32" s="244"/>
      <c r="N32" s="248"/>
      <c r="O32" s="240"/>
      <c r="P32" s="240"/>
      <c r="Q32" s="229"/>
      <c r="R32" s="415"/>
      <c r="S32" s="230"/>
    </row>
    <row r="33" spans="2:19" x14ac:dyDescent="0.2">
      <c r="B33" s="237"/>
      <c r="C33" s="241"/>
      <c r="D33" s="241"/>
      <c r="E33" s="241"/>
      <c r="F33" s="241"/>
      <c r="G33" s="241"/>
      <c r="H33" s="245"/>
      <c r="I33" s="249"/>
      <c r="J33" s="241"/>
      <c r="K33" s="241"/>
      <c r="L33" s="241"/>
      <c r="M33" s="245"/>
      <c r="N33" s="249"/>
      <c r="O33" s="241"/>
      <c r="P33" s="241"/>
      <c r="Q33" s="231"/>
      <c r="R33" s="416"/>
      <c r="S33" s="232"/>
    </row>
    <row r="34" spans="2:19" x14ac:dyDescent="0.2">
      <c r="B34" s="236"/>
      <c r="C34" s="240"/>
      <c r="D34" s="240"/>
      <c r="E34" s="240"/>
      <c r="F34" s="240"/>
      <c r="G34" s="240"/>
      <c r="H34" s="244"/>
      <c r="I34" s="248"/>
      <c r="J34" s="240"/>
      <c r="K34" s="240"/>
      <c r="L34" s="240"/>
      <c r="M34" s="244"/>
      <c r="N34" s="248"/>
      <c r="O34" s="240"/>
      <c r="P34" s="240"/>
      <c r="Q34" s="229"/>
      <c r="R34" s="415"/>
      <c r="S34" s="230"/>
    </row>
    <row r="35" spans="2:19" ht="17" customHeight="1" x14ac:dyDescent="0.2">
      <c r="B35" s="237"/>
      <c r="C35" s="241"/>
      <c r="D35" s="241"/>
      <c r="E35" s="241"/>
      <c r="F35" s="241"/>
      <c r="G35" s="241"/>
      <c r="H35" s="245"/>
      <c r="I35" s="249"/>
      <c r="J35" s="241"/>
      <c r="K35" s="241"/>
      <c r="L35" s="241"/>
      <c r="M35" s="245"/>
      <c r="N35" s="249"/>
      <c r="O35" s="241"/>
      <c r="P35" s="241"/>
      <c r="Q35" s="231"/>
      <c r="R35" s="416"/>
      <c r="S35" s="232"/>
    </row>
    <row r="36" spans="2:19" x14ac:dyDescent="0.2">
      <c r="B36" s="236"/>
      <c r="C36" s="240"/>
      <c r="D36" s="240"/>
      <c r="E36" s="240"/>
      <c r="F36" s="240"/>
      <c r="G36" s="240"/>
      <c r="H36" s="244"/>
      <c r="I36" s="248"/>
      <c r="J36" s="240"/>
      <c r="K36" s="240"/>
      <c r="L36" s="240"/>
      <c r="M36" s="244"/>
      <c r="N36" s="248"/>
      <c r="O36" s="240"/>
      <c r="P36" s="240"/>
      <c r="Q36" s="229"/>
      <c r="R36" s="415"/>
      <c r="S36" s="230"/>
    </row>
    <row r="37" spans="2:19" x14ac:dyDescent="0.2">
      <c r="B37" s="237"/>
      <c r="C37" s="241"/>
      <c r="D37" s="241"/>
      <c r="E37" s="241"/>
      <c r="F37" s="241"/>
      <c r="G37" s="241"/>
      <c r="H37" s="245"/>
      <c r="I37" s="249"/>
      <c r="J37" s="241"/>
      <c r="K37" s="241"/>
      <c r="L37" s="241"/>
      <c r="M37" s="245"/>
      <c r="N37" s="249"/>
      <c r="O37" s="241"/>
      <c r="P37" s="241"/>
      <c r="Q37" s="231"/>
      <c r="R37" s="416"/>
      <c r="S37" s="232"/>
    </row>
    <row r="38" spans="2:19" x14ac:dyDescent="0.2">
      <c r="B38" s="236"/>
      <c r="C38" s="240"/>
      <c r="D38" s="240"/>
      <c r="E38" s="240"/>
      <c r="F38" s="240"/>
      <c r="G38" s="240"/>
      <c r="H38" s="244"/>
      <c r="I38" s="248"/>
      <c r="J38" s="240"/>
      <c r="K38" s="240"/>
      <c r="L38" s="240"/>
      <c r="M38" s="244"/>
      <c r="N38" s="248"/>
      <c r="O38" s="240"/>
      <c r="P38" s="240"/>
      <c r="Q38" s="229"/>
      <c r="R38" s="415"/>
      <c r="S38" s="230"/>
    </row>
    <row r="39" spans="2:19" ht="17" customHeight="1" x14ac:dyDescent="0.2">
      <c r="B39" s="237"/>
      <c r="C39" s="241"/>
      <c r="D39" s="241"/>
      <c r="E39" s="241"/>
      <c r="F39" s="241"/>
      <c r="G39" s="241"/>
      <c r="H39" s="245"/>
      <c r="I39" s="249"/>
      <c r="J39" s="241"/>
      <c r="K39" s="241"/>
      <c r="L39" s="241"/>
      <c r="M39" s="245"/>
      <c r="N39" s="249"/>
      <c r="O39" s="241"/>
      <c r="P39" s="241"/>
      <c r="Q39" s="231"/>
      <c r="R39" s="416"/>
      <c r="S39" s="232"/>
    </row>
    <row r="40" spans="2:19" x14ac:dyDescent="0.2">
      <c r="B40" s="236"/>
      <c r="C40" s="240"/>
      <c r="D40" s="240"/>
      <c r="E40" s="240"/>
      <c r="F40" s="240"/>
      <c r="G40" s="240"/>
      <c r="H40" s="244"/>
      <c r="I40" s="248"/>
      <c r="J40" s="240"/>
      <c r="K40" s="240"/>
      <c r="L40" s="240"/>
      <c r="M40" s="244"/>
      <c r="N40" s="248"/>
      <c r="O40" s="240"/>
      <c r="P40" s="240"/>
      <c r="Q40" s="229"/>
      <c r="R40" s="415"/>
      <c r="S40" s="230"/>
    </row>
    <row r="41" spans="2:19" x14ac:dyDescent="0.2">
      <c r="B41" s="237"/>
      <c r="C41" s="241"/>
      <c r="D41" s="241"/>
      <c r="E41" s="241"/>
      <c r="F41" s="241"/>
      <c r="G41" s="241"/>
      <c r="H41" s="245"/>
      <c r="I41" s="249"/>
      <c r="J41" s="241"/>
      <c r="K41" s="241"/>
      <c r="L41" s="241"/>
      <c r="M41" s="245"/>
      <c r="N41" s="249"/>
      <c r="O41" s="241"/>
      <c r="P41" s="241"/>
      <c r="Q41" s="231"/>
      <c r="R41" s="416"/>
      <c r="S41" s="232"/>
    </row>
    <row r="42" spans="2:19" x14ac:dyDescent="0.2">
      <c r="B42" s="236"/>
      <c r="C42" s="240"/>
      <c r="D42" s="240"/>
      <c r="E42" s="240"/>
      <c r="F42" s="240"/>
      <c r="G42" s="240"/>
      <c r="H42" s="244"/>
      <c r="I42" s="248"/>
      <c r="J42" s="240"/>
      <c r="K42" s="240"/>
      <c r="L42" s="240"/>
      <c r="M42" s="244"/>
      <c r="N42" s="248"/>
      <c r="O42" s="240"/>
      <c r="P42" s="240"/>
      <c r="Q42" s="229"/>
      <c r="R42" s="415"/>
      <c r="S42" s="230"/>
    </row>
    <row r="43" spans="2:19" ht="17" customHeight="1" x14ac:dyDescent="0.2">
      <c r="B43" s="237"/>
      <c r="C43" s="241"/>
      <c r="D43" s="241"/>
      <c r="E43" s="241"/>
      <c r="F43" s="241"/>
      <c r="G43" s="241"/>
      <c r="H43" s="245"/>
      <c r="I43" s="249"/>
      <c r="J43" s="241"/>
      <c r="K43" s="241"/>
      <c r="L43" s="241"/>
      <c r="M43" s="245"/>
      <c r="N43" s="249"/>
      <c r="O43" s="241"/>
      <c r="P43" s="241"/>
      <c r="Q43" s="231"/>
      <c r="R43" s="416"/>
      <c r="S43" s="232"/>
    </row>
    <row r="44" spans="2:19" ht="17" customHeight="1" x14ac:dyDescent="0.2">
      <c r="B44" s="236"/>
      <c r="C44" s="240"/>
      <c r="D44" s="240"/>
      <c r="E44" s="240"/>
      <c r="F44" s="240"/>
      <c r="G44" s="240"/>
      <c r="H44" s="244"/>
      <c r="I44" s="248"/>
      <c r="J44" s="240"/>
      <c r="K44" s="240"/>
      <c r="L44" s="240"/>
      <c r="M44" s="244"/>
      <c r="N44" s="248"/>
      <c r="O44" s="240"/>
      <c r="P44" s="240"/>
      <c r="Q44" s="229"/>
      <c r="R44" s="415"/>
      <c r="S44" s="230"/>
    </row>
    <row r="45" spans="2:19" x14ac:dyDescent="0.2">
      <c r="B45" s="237"/>
      <c r="C45" s="241"/>
      <c r="D45" s="241"/>
      <c r="E45" s="241"/>
      <c r="F45" s="241"/>
      <c r="G45" s="241"/>
      <c r="H45" s="245"/>
      <c r="I45" s="249"/>
      <c r="J45" s="241"/>
      <c r="K45" s="241"/>
      <c r="L45" s="241"/>
      <c r="M45" s="245"/>
      <c r="N45" s="249"/>
      <c r="O45" s="241"/>
      <c r="P45" s="241"/>
      <c r="Q45" s="231"/>
      <c r="R45" s="416"/>
      <c r="S45" s="232"/>
    </row>
    <row r="46" spans="2:19" x14ac:dyDescent="0.2">
      <c r="B46" s="236"/>
      <c r="C46" s="240"/>
      <c r="D46" s="240"/>
      <c r="E46" s="240"/>
      <c r="F46" s="240"/>
      <c r="G46" s="240"/>
      <c r="H46" s="244"/>
      <c r="I46" s="248"/>
      <c r="J46" s="240"/>
      <c r="K46" s="240"/>
      <c r="L46" s="240"/>
      <c r="M46" s="244"/>
      <c r="N46" s="248"/>
      <c r="O46" s="240"/>
      <c r="P46" s="240"/>
      <c r="Q46" s="229"/>
      <c r="R46" s="415"/>
      <c r="S46" s="230"/>
    </row>
    <row r="47" spans="2:19" ht="17" customHeight="1" x14ac:dyDescent="0.2">
      <c r="B47" s="237"/>
      <c r="C47" s="241"/>
      <c r="D47" s="241"/>
      <c r="E47" s="241"/>
      <c r="F47" s="241"/>
      <c r="G47" s="241"/>
      <c r="H47" s="245"/>
      <c r="I47" s="249"/>
      <c r="J47" s="241"/>
      <c r="K47" s="241"/>
      <c r="L47" s="241"/>
      <c r="M47" s="245"/>
      <c r="N47" s="249"/>
      <c r="O47" s="241"/>
      <c r="P47" s="241"/>
      <c r="Q47" s="231"/>
      <c r="R47" s="416"/>
      <c r="S47" s="232"/>
    </row>
    <row r="48" spans="2:19" x14ac:dyDescent="0.2">
      <c r="B48" s="236"/>
      <c r="C48" s="240"/>
      <c r="D48" s="240"/>
      <c r="E48" s="240"/>
      <c r="F48" s="240"/>
      <c r="G48" s="240"/>
      <c r="H48" s="244"/>
      <c r="I48" s="248"/>
      <c r="J48" s="240"/>
      <c r="K48" s="240"/>
      <c r="L48" s="240"/>
      <c r="M48" s="244"/>
      <c r="N48" s="248"/>
      <c r="O48" s="240"/>
      <c r="P48" s="240"/>
      <c r="Q48" s="229"/>
      <c r="R48" s="415"/>
      <c r="S48" s="230"/>
    </row>
    <row r="49" spans="2:19" x14ac:dyDescent="0.2">
      <c r="B49" s="237"/>
      <c r="C49" s="241"/>
      <c r="D49" s="241"/>
      <c r="E49" s="241"/>
      <c r="F49" s="241"/>
      <c r="G49" s="241"/>
      <c r="H49" s="245"/>
      <c r="I49" s="249"/>
      <c r="J49" s="241"/>
      <c r="K49" s="241"/>
      <c r="L49" s="241"/>
      <c r="M49" s="245"/>
      <c r="N49" s="249"/>
      <c r="O49" s="241"/>
      <c r="P49" s="241"/>
      <c r="Q49" s="231"/>
      <c r="R49" s="416"/>
      <c r="S49" s="232"/>
    </row>
    <row r="50" spans="2:19" x14ac:dyDescent="0.2">
      <c r="B50" s="236"/>
      <c r="C50" s="240"/>
      <c r="D50" s="240"/>
      <c r="E50" s="240"/>
      <c r="F50" s="240"/>
      <c r="G50" s="240"/>
      <c r="H50" s="244"/>
      <c r="I50" s="248"/>
      <c r="J50" s="240"/>
      <c r="K50" s="240"/>
      <c r="L50" s="240"/>
      <c r="M50" s="244"/>
      <c r="N50" s="248"/>
      <c r="O50" s="240"/>
      <c r="P50" s="240"/>
      <c r="Q50" s="229"/>
      <c r="R50" s="415"/>
      <c r="S50" s="230"/>
    </row>
    <row r="51" spans="2:19" ht="17" customHeight="1" x14ac:dyDescent="0.2">
      <c r="B51" s="237"/>
      <c r="C51" s="241"/>
      <c r="D51" s="241"/>
      <c r="E51" s="241"/>
      <c r="F51" s="241"/>
      <c r="G51" s="241"/>
      <c r="H51" s="245"/>
      <c r="I51" s="249"/>
      <c r="J51" s="241"/>
      <c r="K51" s="241"/>
      <c r="L51" s="241"/>
      <c r="M51" s="245"/>
      <c r="N51" s="249"/>
      <c r="O51" s="241"/>
      <c r="P51" s="241"/>
      <c r="Q51" s="231"/>
      <c r="R51" s="416"/>
      <c r="S51" s="232"/>
    </row>
    <row r="52" spans="2:19" x14ac:dyDescent="0.2">
      <c r="B52" s="236"/>
      <c r="C52" s="240"/>
      <c r="D52" s="240"/>
      <c r="E52" s="240"/>
      <c r="F52" s="240"/>
      <c r="G52" s="240"/>
      <c r="H52" s="244"/>
      <c r="I52" s="248"/>
      <c r="J52" s="240"/>
      <c r="K52" s="240"/>
      <c r="L52" s="240"/>
      <c r="M52" s="244"/>
      <c r="N52" s="248"/>
      <c r="O52" s="240"/>
      <c r="P52" s="240"/>
      <c r="Q52" s="229"/>
      <c r="R52" s="415"/>
      <c r="S52" s="230"/>
    </row>
    <row r="53" spans="2:19" x14ac:dyDescent="0.2">
      <c r="B53" s="237"/>
      <c r="C53" s="241"/>
      <c r="D53" s="241"/>
      <c r="E53" s="241"/>
      <c r="F53" s="241"/>
      <c r="G53" s="241"/>
      <c r="H53" s="245"/>
      <c r="I53" s="249"/>
      <c r="J53" s="241"/>
      <c r="K53" s="241"/>
      <c r="L53" s="241"/>
      <c r="M53" s="245"/>
      <c r="N53" s="249"/>
      <c r="O53" s="241"/>
      <c r="P53" s="241"/>
      <c r="Q53" s="231"/>
      <c r="R53" s="416"/>
      <c r="S53" s="232"/>
    </row>
    <row r="54" spans="2:19" x14ac:dyDescent="0.2">
      <c r="B54" s="236"/>
      <c r="C54" s="240"/>
      <c r="D54" s="240"/>
      <c r="E54" s="240"/>
      <c r="F54" s="240"/>
      <c r="G54" s="240"/>
      <c r="H54" s="244"/>
      <c r="I54" s="248"/>
      <c r="J54" s="240"/>
      <c r="K54" s="240"/>
      <c r="L54" s="240"/>
      <c r="M54" s="244"/>
      <c r="N54" s="248"/>
      <c r="O54" s="240"/>
      <c r="P54" s="240"/>
      <c r="Q54" s="229"/>
      <c r="R54" s="415"/>
      <c r="S54" s="230"/>
    </row>
    <row r="55" spans="2:19" ht="17" customHeight="1" x14ac:dyDescent="0.2">
      <c r="B55" s="237"/>
      <c r="C55" s="241"/>
      <c r="D55" s="241"/>
      <c r="E55" s="241"/>
      <c r="F55" s="241"/>
      <c r="G55" s="241"/>
      <c r="H55" s="245"/>
      <c r="I55" s="249"/>
      <c r="J55" s="241"/>
      <c r="K55" s="241"/>
      <c r="L55" s="241"/>
      <c r="M55" s="245"/>
      <c r="N55" s="249"/>
      <c r="O55" s="241"/>
      <c r="P55" s="241"/>
      <c r="Q55" s="231"/>
      <c r="R55" s="416"/>
      <c r="S55" s="232"/>
    </row>
    <row r="56" spans="2:19" x14ac:dyDescent="0.2">
      <c r="B56" s="236"/>
      <c r="C56" s="240"/>
      <c r="D56" s="240"/>
      <c r="E56" s="240"/>
      <c r="F56" s="240"/>
      <c r="G56" s="240"/>
      <c r="H56" s="244"/>
      <c r="I56" s="248"/>
      <c r="J56" s="240"/>
      <c r="K56" s="240"/>
      <c r="L56" s="240"/>
      <c r="M56" s="244"/>
      <c r="N56" s="248"/>
      <c r="O56" s="240"/>
      <c r="P56" s="240"/>
      <c r="Q56" s="229"/>
      <c r="R56" s="415"/>
      <c r="S56" s="230"/>
    </row>
    <row r="57" spans="2:19" x14ac:dyDescent="0.2">
      <c r="B57" s="237"/>
      <c r="C57" s="241"/>
      <c r="D57" s="241"/>
      <c r="E57" s="241"/>
      <c r="F57" s="241"/>
      <c r="G57" s="241"/>
      <c r="H57" s="245"/>
      <c r="I57" s="249"/>
      <c r="J57" s="241"/>
      <c r="K57" s="241"/>
      <c r="L57" s="241"/>
      <c r="M57" s="245"/>
      <c r="N57" s="249"/>
      <c r="O57" s="241"/>
      <c r="P57" s="241"/>
      <c r="Q57" s="231"/>
      <c r="R57" s="416"/>
      <c r="S57" s="232"/>
    </row>
    <row r="58" spans="2:19" x14ac:dyDescent="0.2">
      <c r="B58" s="236"/>
      <c r="C58" s="240"/>
      <c r="D58" s="240"/>
      <c r="E58" s="240"/>
      <c r="F58" s="240"/>
      <c r="G58" s="240"/>
      <c r="H58" s="244"/>
      <c r="I58" s="248"/>
      <c r="J58" s="240"/>
      <c r="K58" s="240"/>
      <c r="L58" s="240"/>
      <c r="M58" s="244"/>
      <c r="N58" s="248"/>
      <c r="O58" s="240"/>
      <c r="P58" s="240"/>
      <c r="Q58" s="229"/>
      <c r="R58" s="415"/>
      <c r="S58" s="230"/>
    </row>
    <row r="59" spans="2:19" ht="17" customHeight="1" x14ac:dyDescent="0.2">
      <c r="B59" s="237"/>
      <c r="C59" s="241"/>
      <c r="D59" s="241"/>
      <c r="E59" s="241"/>
      <c r="F59" s="241"/>
      <c r="G59" s="241"/>
      <c r="H59" s="245"/>
      <c r="I59" s="249"/>
      <c r="J59" s="241"/>
      <c r="K59" s="241"/>
      <c r="L59" s="241"/>
      <c r="M59" s="245"/>
      <c r="N59" s="249"/>
      <c r="O59" s="241"/>
      <c r="P59" s="241"/>
      <c r="Q59" s="231"/>
      <c r="R59" s="416"/>
      <c r="S59" s="232"/>
    </row>
    <row r="60" spans="2:19" ht="17" customHeight="1" x14ac:dyDescent="0.2">
      <c r="B60" s="236"/>
      <c r="C60" s="240"/>
      <c r="D60" s="240"/>
      <c r="E60" s="240"/>
      <c r="F60" s="240"/>
      <c r="G60" s="240"/>
      <c r="H60" s="244"/>
      <c r="I60" s="248"/>
      <c r="J60" s="240"/>
      <c r="K60" s="240"/>
      <c r="L60" s="240"/>
      <c r="M60" s="244"/>
      <c r="N60" s="248"/>
      <c r="O60" s="240"/>
      <c r="P60" s="240"/>
      <c r="Q60" s="229"/>
      <c r="R60" s="415"/>
      <c r="S60" s="230"/>
    </row>
    <row r="61" spans="2:19" x14ac:dyDescent="0.2">
      <c r="B61" s="237"/>
      <c r="C61" s="241"/>
      <c r="D61" s="241"/>
      <c r="E61" s="241"/>
      <c r="F61" s="241"/>
      <c r="G61" s="241"/>
      <c r="H61" s="245"/>
      <c r="I61" s="249"/>
      <c r="J61" s="241"/>
      <c r="K61" s="241"/>
      <c r="L61" s="241"/>
      <c r="M61" s="245"/>
      <c r="N61" s="249"/>
      <c r="O61" s="241"/>
      <c r="P61" s="241"/>
      <c r="Q61" s="231"/>
      <c r="R61" s="416"/>
      <c r="S61" s="232"/>
    </row>
    <row r="62" spans="2:19" x14ac:dyDescent="0.2">
      <c r="B62" s="236"/>
      <c r="C62" s="240"/>
      <c r="D62" s="240"/>
      <c r="E62" s="240"/>
      <c r="F62" s="240"/>
      <c r="G62" s="240"/>
      <c r="H62" s="244"/>
      <c r="I62" s="248"/>
      <c r="J62" s="240"/>
      <c r="K62" s="240"/>
      <c r="L62" s="240"/>
      <c r="M62" s="244"/>
      <c r="N62" s="248"/>
      <c r="O62" s="240"/>
      <c r="P62" s="240"/>
      <c r="Q62" s="229"/>
      <c r="R62" s="415"/>
      <c r="S62" s="230"/>
    </row>
    <row r="63" spans="2:19" ht="17" customHeight="1" x14ac:dyDescent="0.2">
      <c r="B63" s="237"/>
      <c r="C63" s="241"/>
      <c r="D63" s="241"/>
      <c r="E63" s="241"/>
      <c r="F63" s="241"/>
      <c r="G63" s="241"/>
      <c r="H63" s="245"/>
      <c r="I63" s="249"/>
      <c r="J63" s="241"/>
      <c r="K63" s="241"/>
      <c r="L63" s="241"/>
      <c r="M63" s="245"/>
      <c r="N63" s="249"/>
      <c r="O63" s="241"/>
      <c r="P63" s="241"/>
      <c r="Q63" s="231"/>
      <c r="R63" s="416"/>
      <c r="S63" s="232"/>
    </row>
    <row r="64" spans="2:19" x14ac:dyDescent="0.2">
      <c r="B64" s="236"/>
      <c r="C64" s="240"/>
      <c r="D64" s="240"/>
      <c r="E64" s="240"/>
      <c r="F64" s="240"/>
      <c r="G64" s="240"/>
      <c r="H64" s="244"/>
      <c r="I64" s="248"/>
      <c r="J64" s="240"/>
      <c r="K64" s="240"/>
      <c r="L64" s="240"/>
      <c r="M64" s="244"/>
      <c r="N64" s="248"/>
      <c r="O64" s="240"/>
      <c r="P64" s="240"/>
      <c r="Q64" s="229"/>
      <c r="R64" s="415"/>
      <c r="S64" s="230"/>
    </row>
    <row r="65" spans="2:19" x14ac:dyDescent="0.2">
      <c r="B65" s="237"/>
      <c r="C65" s="241"/>
      <c r="D65" s="241"/>
      <c r="E65" s="241"/>
      <c r="F65" s="241"/>
      <c r="G65" s="241"/>
      <c r="H65" s="245"/>
      <c r="I65" s="249"/>
      <c r="J65" s="241"/>
      <c r="K65" s="241"/>
      <c r="L65" s="241"/>
      <c r="M65" s="245"/>
      <c r="N65" s="249"/>
      <c r="O65" s="241"/>
      <c r="P65" s="241"/>
      <c r="Q65" s="231"/>
      <c r="R65" s="416"/>
      <c r="S65" s="232"/>
    </row>
    <row r="66" spans="2:19" x14ac:dyDescent="0.2">
      <c r="B66" s="236"/>
      <c r="C66" s="240"/>
      <c r="D66" s="240"/>
      <c r="E66" s="240"/>
      <c r="F66" s="240"/>
      <c r="G66" s="240"/>
      <c r="H66" s="244"/>
      <c r="I66" s="248"/>
      <c r="J66" s="240"/>
      <c r="K66" s="240"/>
      <c r="L66" s="240"/>
      <c r="M66" s="244"/>
      <c r="N66" s="248"/>
      <c r="O66" s="240"/>
      <c r="P66" s="240"/>
      <c r="Q66" s="229"/>
      <c r="R66" s="415"/>
      <c r="S66" s="230"/>
    </row>
    <row r="67" spans="2:19" ht="17" customHeight="1" x14ac:dyDescent="0.2">
      <c r="B67" s="237"/>
      <c r="C67" s="241"/>
      <c r="D67" s="241"/>
      <c r="E67" s="241"/>
      <c r="F67" s="241"/>
      <c r="G67" s="241"/>
      <c r="H67" s="245"/>
      <c r="I67" s="249"/>
      <c r="J67" s="241"/>
      <c r="K67" s="241"/>
      <c r="L67" s="241"/>
      <c r="M67" s="245"/>
      <c r="N67" s="249"/>
      <c r="O67" s="241"/>
      <c r="P67" s="241"/>
      <c r="Q67" s="231"/>
      <c r="R67" s="416"/>
      <c r="S67" s="232"/>
    </row>
    <row r="68" spans="2:19" x14ac:dyDescent="0.2">
      <c r="B68" s="236"/>
      <c r="C68" s="240"/>
      <c r="D68" s="240"/>
      <c r="E68" s="240"/>
      <c r="F68" s="240"/>
      <c r="G68" s="240"/>
      <c r="H68" s="244"/>
      <c r="I68" s="248"/>
      <c r="J68" s="240"/>
      <c r="K68" s="240"/>
      <c r="L68" s="240"/>
      <c r="M68" s="244"/>
      <c r="N68" s="248"/>
      <c r="O68" s="240"/>
      <c r="P68" s="240"/>
      <c r="Q68" s="229"/>
      <c r="R68" s="415"/>
      <c r="S68" s="230"/>
    </row>
    <row r="69" spans="2:19" x14ac:dyDescent="0.2">
      <c r="B69" s="237"/>
      <c r="C69" s="241"/>
      <c r="D69" s="241"/>
      <c r="E69" s="241"/>
      <c r="F69" s="241"/>
      <c r="G69" s="241"/>
      <c r="H69" s="245"/>
      <c r="I69" s="249"/>
      <c r="J69" s="241"/>
      <c r="K69" s="241"/>
      <c r="L69" s="241"/>
      <c r="M69" s="245"/>
      <c r="N69" s="249"/>
      <c r="O69" s="241"/>
      <c r="P69" s="241"/>
      <c r="Q69" s="231"/>
      <c r="R69" s="416"/>
      <c r="S69" s="232"/>
    </row>
    <row r="70" spans="2:19" x14ac:dyDescent="0.2">
      <c r="B70" s="236"/>
      <c r="C70" s="240"/>
      <c r="D70" s="240"/>
      <c r="E70" s="240"/>
      <c r="F70" s="240"/>
      <c r="G70" s="240"/>
      <c r="H70" s="244"/>
      <c r="I70" s="248"/>
      <c r="J70" s="240"/>
      <c r="K70" s="240"/>
      <c r="L70" s="240"/>
      <c r="M70" s="244"/>
      <c r="N70" s="248"/>
      <c r="O70" s="240"/>
      <c r="P70" s="240"/>
      <c r="Q70" s="229"/>
      <c r="R70" s="415"/>
      <c r="S70" s="230"/>
    </row>
    <row r="71" spans="2:19" ht="17" customHeight="1" x14ac:dyDescent="0.2">
      <c r="B71" s="237"/>
      <c r="C71" s="241"/>
      <c r="D71" s="241"/>
      <c r="E71" s="241"/>
      <c r="F71" s="241"/>
      <c r="G71" s="241"/>
      <c r="H71" s="245"/>
      <c r="I71" s="249"/>
      <c r="J71" s="241"/>
      <c r="K71" s="241"/>
      <c r="L71" s="241"/>
      <c r="M71" s="245"/>
      <c r="N71" s="249"/>
      <c r="O71" s="241"/>
      <c r="P71" s="241"/>
      <c r="Q71" s="231"/>
      <c r="R71" s="416"/>
      <c r="S71" s="232"/>
    </row>
    <row r="72" spans="2:19" x14ac:dyDescent="0.2">
      <c r="B72" s="236"/>
      <c r="C72" s="240"/>
      <c r="D72" s="240"/>
      <c r="E72" s="240"/>
      <c r="F72" s="240"/>
      <c r="G72" s="240"/>
      <c r="H72" s="244"/>
      <c r="I72" s="248"/>
      <c r="J72" s="240"/>
      <c r="K72" s="240"/>
      <c r="L72" s="240"/>
      <c r="M72" s="244"/>
      <c r="N72" s="248"/>
      <c r="O72" s="240"/>
      <c r="P72" s="240"/>
      <c r="Q72" s="229"/>
      <c r="R72" s="415"/>
      <c r="S72" s="230"/>
    </row>
    <row r="73" spans="2:19" x14ac:dyDescent="0.2">
      <c r="B73" s="237"/>
      <c r="C73" s="241"/>
      <c r="D73" s="241"/>
      <c r="E73" s="241"/>
      <c r="F73" s="241"/>
      <c r="G73" s="241"/>
      <c r="H73" s="245"/>
      <c r="I73" s="249"/>
      <c r="J73" s="241"/>
      <c r="K73" s="241"/>
      <c r="L73" s="241"/>
      <c r="M73" s="245"/>
      <c r="N73" s="249"/>
      <c r="O73" s="241"/>
      <c r="P73" s="241"/>
      <c r="Q73" s="231"/>
      <c r="R73" s="416"/>
      <c r="S73" s="232"/>
    </row>
    <row r="74" spans="2:19" x14ac:dyDescent="0.2">
      <c r="B74" s="236"/>
      <c r="C74" s="240"/>
      <c r="D74" s="240"/>
      <c r="E74" s="240"/>
      <c r="F74" s="240"/>
      <c r="G74" s="240"/>
      <c r="H74" s="244"/>
      <c r="I74" s="248"/>
      <c r="J74" s="240"/>
      <c r="K74" s="240"/>
      <c r="L74" s="240"/>
      <c r="M74" s="244"/>
      <c r="N74" s="248"/>
      <c r="O74" s="240"/>
      <c r="P74" s="240"/>
      <c r="Q74" s="229"/>
      <c r="R74" s="415"/>
      <c r="S74" s="230"/>
    </row>
    <row r="75" spans="2:19" ht="17" customHeight="1" x14ac:dyDescent="0.2">
      <c r="B75" s="237"/>
      <c r="C75" s="241"/>
      <c r="D75" s="241"/>
      <c r="E75" s="241"/>
      <c r="F75" s="241"/>
      <c r="G75" s="241"/>
      <c r="H75" s="245"/>
      <c r="I75" s="249"/>
      <c r="J75" s="241"/>
      <c r="K75" s="241"/>
      <c r="L75" s="241"/>
      <c r="M75" s="245"/>
      <c r="N75" s="249"/>
      <c r="O75" s="241"/>
      <c r="P75" s="241"/>
      <c r="Q75" s="231"/>
      <c r="R75" s="416"/>
      <c r="S75" s="232"/>
    </row>
    <row r="76" spans="2:19" ht="17" customHeight="1" x14ac:dyDescent="0.2">
      <c r="B76" s="236"/>
      <c r="C76" s="240"/>
      <c r="D76" s="240"/>
      <c r="E76" s="240"/>
      <c r="F76" s="240"/>
      <c r="G76" s="240"/>
      <c r="H76" s="244"/>
      <c r="I76" s="248"/>
      <c r="J76" s="240"/>
      <c r="K76" s="240"/>
      <c r="L76" s="240"/>
      <c r="M76" s="244"/>
      <c r="N76" s="248"/>
      <c r="O76" s="240"/>
      <c r="P76" s="240"/>
      <c r="Q76" s="229"/>
      <c r="R76" s="415"/>
      <c r="S76" s="230"/>
    </row>
    <row r="77" spans="2:19" x14ac:dyDescent="0.2">
      <c r="B77" s="237"/>
      <c r="C77" s="241"/>
      <c r="D77" s="241"/>
      <c r="E77" s="241"/>
      <c r="F77" s="241"/>
      <c r="G77" s="241"/>
      <c r="H77" s="245"/>
      <c r="I77" s="249"/>
      <c r="J77" s="241"/>
      <c r="K77" s="241"/>
      <c r="L77" s="241"/>
      <c r="M77" s="245"/>
      <c r="N77" s="249"/>
      <c r="O77" s="241"/>
      <c r="P77" s="241"/>
      <c r="Q77" s="231"/>
      <c r="R77" s="416"/>
      <c r="S77" s="232"/>
    </row>
    <row r="78" spans="2:19" x14ac:dyDescent="0.2">
      <c r="B78" s="236"/>
      <c r="C78" s="240"/>
      <c r="D78" s="240"/>
      <c r="E78" s="240"/>
      <c r="F78" s="240"/>
      <c r="G78" s="240"/>
      <c r="H78" s="244"/>
      <c r="I78" s="248"/>
      <c r="J78" s="240"/>
      <c r="K78" s="240"/>
      <c r="L78" s="240"/>
      <c r="M78" s="244"/>
      <c r="N78" s="248"/>
      <c r="O78" s="240"/>
      <c r="P78" s="240"/>
      <c r="Q78" s="229"/>
      <c r="R78" s="415"/>
      <c r="S78" s="230"/>
    </row>
    <row r="79" spans="2:19" ht="17" customHeight="1" x14ac:dyDescent="0.2">
      <c r="B79" s="237"/>
      <c r="C79" s="241"/>
      <c r="D79" s="241"/>
      <c r="E79" s="241"/>
      <c r="F79" s="241"/>
      <c r="G79" s="241"/>
      <c r="H79" s="245"/>
      <c r="I79" s="249"/>
      <c r="J79" s="241"/>
      <c r="K79" s="241"/>
      <c r="L79" s="241"/>
      <c r="M79" s="245"/>
      <c r="N79" s="249"/>
      <c r="O79" s="241"/>
      <c r="P79" s="241"/>
      <c r="Q79" s="231"/>
      <c r="R79" s="416"/>
      <c r="S79" s="232"/>
    </row>
    <row r="80" spans="2:19" x14ac:dyDescent="0.2">
      <c r="B80" s="236"/>
      <c r="C80" s="240"/>
      <c r="D80" s="240"/>
      <c r="E80" s="240"/>
      <c r="F80" s="240"/>
      <c r="G80" s="240"/>
      <c r="H80" s="244"/>
      <c r="I80" s="248"/>
      <c r="J80" s="240"/>
      <c r="K80" s="240"/>
      <c r="L80" s="240"/>
      <c r="M80" s="244"/>
      <c r="N80" s="248"/>
      <c r="O80" s="240"/>
      <c r="P80" s="240"/>
      <c r="Q80" s="229"/>
      <c r="R80" s="415"/>
      <c r="S80" s="230"/>
    </row>
    <row r="81" spans="2:19" x14ac:dyDescent="0.2">
      <c r="B81" s="237"/>
      <c r="C81" s="241"/>
      <c r="D81" s="241"/>
      <c r="E81" s="241"/>
      <c r="F81" s="241"/>
      <c r="G81" s="241"/>
      <c r="H81" s="245"/>
      <c r="I81" s="249"/>
      <c r="J81" s="241"/>
      <c r="K81" s="241"/>
      <c r="L81" s="241"/>
      <c r="M81" s="245"/>
      <c r="N81" s="249"/>
      <c r="O81" s="241"/>
      <c r="P81" s="241"/>
      <c r="Q81" s="231"/>
      <c r="R81" s="416"/>
      <c r="S81" s="232"/>
    </row>
    <row r="82" spans="2:19" x14ac:dyDescent="0.2">
      <c r="B82" s="236"/>
      <c r="C82" s="240"/>
      <c r="D82" s="240"/>
      <c r="E82" s="240"/>
      <c r="F82" s="240"/>
      <c r="G82" s="240"/>
      <c r="H82" s="244"/>
      <c r="I82" s="248"/>
      <c r="J82" s="240"/>
      <c r="K82" s="240"/>
      <c r="L82" s="240"/>
      <c r="M82" s="244"/>
      <c r="N82" s="248"/>
      <c r="O82" s="240"/>
      <c r="P82" s="240"/>
      <c r="Q82" s="229"/>
      <c r="R82" s="415"/>
      <c r="S82" s="230"/>
    </row>
    <row r="83" spans="2:19" ht="17" customHeight="1" x14ac:dyDescent="0.2">
      <c r="B83" s="237"/>
      <c r="C83" s="241"/>
      <c r="D83" s="241"/>
      <c r="E83" s="241"/>
      <c r="F83" s="241"/>
      <c r="G83" s="241"/>
      <c r="H83" s="245"/>
      <c r="I83" s="249"/>
      <c r="J83" s="241"/>
      <c r="K83" s="241"/>
      <c r="L83" s="241"/>
      <c r="M83" s="245"/>
      <c r="N83" s="249"/>
      <c r="O83" s="241"/>
      <c r="P83" s="241"/>
      <c r="Q83" s="231"/>
      <c r="R83" s="416"/>
      <c r="S83" s="232"/>
    </row>
    <row r="84" spans="2:19" x14ac:dyDescent="0.2">
      <c r="B84" s="236"/>
      <c r="C84" s="240"/>
      <c r="D84" s="240"/>
      <c r="E84" s="240"/>
      <c r="F84" s="240"/>
      <c r="G84" s="240"/>
      <c r="H84" s="244"/>
      <c r="I84" s="248"/>
      <c r="J84" s="240"/>
      <c r="K84" s="240"/>
      <c r="L84" s="240"/>
      <c r="M84" s="244"/>
      <c r="N84" s="248"/>
      <c r="O84" s="240"/>
      <c r="P84" s="240"/>
      <c r="Q84" s="229"/>
      <c r="R84" s="415"/>
      <c r="S84" s="230"/>
    </row>
    <row r="85" spans="2:19" x14ac:dyDescent="0.2">
      <c r="B85" s="237"/>
      <c r="C85" s="241"/>
      <c r="D85" s="241"/>
      <c r="E85" s="241"/>
      <c r="F85" s="241"/>
      <c r="G85" s="241"/>
      <c r="H85" s="245"/>
      <c r="I85" s="249"/>
      <c r="J85" s="241"/>
      <c r="K85" s="241"/>
      <c r="L85" s="241"/>
      <c r="M85" s="245"/>
      <c r="N85" s="249"/>
      <c r="O85" s="241"/>
      <c r="P85" s="241"/>
      <c r="Q85" s="231"/>
      <c r="R85" s="416"/>
      <c r="S85" s="232"/>
    </row>
    <row r="86" spans="2:19" x14ac:dyDescent="0.2">
      <c r="B86" s="236"/>
      <c r="C86" s="240"/>
      <c r="D86" s="240"/>
      <c r="E86" s="240"/>
      <c r="F86" s="240"/>
      <c r="G86" s="240"/>
      <c r="H86" s="244"/>
      <c r="I86" s="248"/>
      <c r="J86" s="240"/>
      <c r="K86" s="240"/>
      <c r="L86" s="240"/>
      <c r="M86" s="244"/>
      <c r="N86" s="248"/>
      <c r="O86" s="240"/>
      <c r="P86" s="240"/>
      <c r="Q86" s="229"/>
      <c r="R86" s="415"/>
      <c r="S86" s="230"/>
    </row>
    <row r="87" spans="2:19" ht="17" customHeight="1" x14ac:dyDescent="0.2">
      <c r="B87" s="237"/>
      <c r="C87" s="241"/>
      <c r="D87" s="241"/>
      <c r="E87" s="241"/>
      <c r="F87" s="241"/>
      <c r="G87" s="241"/>
      <c r="H87" s="245"/>
      <c r="I87" s="249"/>
      <c r="J87" s="241"/>
      <c r="K87" s="241"/>
      <c r="L87" s="241"/>
      <c r="M87" s="245"/>
      <c r="N87" s="249"/>
      <c r="O87" s="241"/>
      <c r="P87" s="241"/>
      <c r="Q87" s="231"/>
      <c r="R87" s="416"/>
      <c r="S87" s="232"/>
    </row>
    <row r="88" spans="2:19" x14ac:dyDescent="0.2">
      <c r="B88" s="236"/>
      <c r="C88" s="240"/>
      <c r="D88" s="240"/>
      <c r="E88" s="240"/>
      <c r="F88" s="240"/>
      <c r="G88" s="240"/>
      <c r="H88" s="244"/>
      <c r="I88" s="248"/>
      <c r="J88" s="240"/>
      <c r="K88" s="240"/>
      <c r="L88" s="240"/>
      <c r="M88" s="244"/>
      <c r="N88" s="248"/>
      <c r="O88" s="240"/>
      <c r="P88" s="240"/>
      <c r="Q88" s="229"/>
      <c r="R88" s="415"/>
      <c r="S88" s="230"/>
    </row>
    <row r="89" spans="2:19" x14ac:dyDescent="0.2">
      <c r="B89" s="237"/>
      <c r="C89" s="241"/>
      <c r="D89" s="241"/>
      <c r="E89" s="241"/>
      <c r="F89" s="241"/>
      <c r="G89" s="241"/>
      <c r="H89" s="245"/>
      <c r="I89" s="249"/>
      <c r="J89" s="241"/>
      <c r="K89" s="241"/>
      <c r="L89" s="241"/>
      <c r="M89" s="245"/>
      <c r="N89" s="249"/>
      <c r="O89" s="241"/>
      <c r="P89" s="241"/>
      <c r="Q89" s="231"/>
      <c r="R89" s="416"/>
      <c r="S89" s="232"/>
    </row>
    <row r="90" spans="2:19" x14ac:dyDescent="0.2">
      <c r="B90" s="236"/>
      <c r="C90" s="240"/>
      <c r="D90" s="240"/>
      <c r="E90" s="240"/>
      <c r="F90" s="240"/>
      <c r="G90" s="240"/>
      <c r="H90" s="244"/>
      <c r="I90" s="248"/>
      <c r="J90" s="240"/>
      <c r="K90" s="240"/>
      <c r="L90" s="240"/>
      <c r="M90" s="244"/>
      <c r="N90" s="248"/>
      <c r="O90" s="240"/>
      <c r="P90" s="240"/>
      <c r="Q90" s="229"/>
      <c r="R90" s="415"/>
      <c r="S90" s="230"/>
    </row>
    <row r="91" spans="2:19" ht="17" customHeight="1" x14ac:dyDescent="0.2">
      <c r="B91" s="237"/>
      <c r="C91" s="241"/>
      <c r="D91" s="241"/>
      <c r="E91" s="241"/>
      <c r="F91" s="241"/>
      <c r="G91" s="241"/>
      <c r="H91" s="245"/>
      <c r="I91" s="249"/>
      <c r="J91" s="241"/>
      <c r="K91" s="241"/>
      <c r="L91" s="241"/>
      <c r="M91" s="245"/>
      <c r="N91" s="249"/>
      <c r="O91" s="241"/>
      <c r="P91" s="241"/>
      <c r="Q91" s="231"/>
      <c r="R91" s="416"/>
      <c r="S91" s="232"/>
    </row>
    <row r="92" spans="2:19" ht="17" customHeight="1" x14ac:dyDescent="0.2">
      <c r="B92" s="236"/>
      <c r="C92" s="240"/>
      <c r="D92" s="240"/>
      <c r="E92" s="240"/>
      <c r="F92" s="240"/>
      <c r="G92" s="240"/>
      <c r="H92" s="244"/>
      <c r="I92" s="248"/>
      <c r="J92" s="240"/>
      <c r="K92" s="240"/>
      <c r="L92" s="240"/>
      <c r="M92" s="244"/>
      <c r="N92" s="248"/>
      <c r="O92" s="240"/>
      <c r="P92" s="240"/>
      <c r="Q92" s="229"/>
      <c r="R92" s="415"/>
      <c r="S92" s="230"/>
    </row>
    <row r="93" spans="2:19" x14ac:dyDescent="0.2">
      <c r="B93" s="237"/>
      <c r="C93" s="241"/>
      <c r="D93" s="241"/>
      <c r="E93" s="241"/>
      <c r="F93" s="241"/>
      <c r="G93" s="241"/>
      <c r="H93" s="245"/>
      <c r="I93" s="249"/>
      <c r="J93" s="241"/>
      <c r="K93" s="241"/>
      <c r="L93" s="241"/>
      <c r="M93" s="245"/>
      <c r="N93" s="249"/>
      <c r="O93" s="241"/>
      <c r="P93" s="241"/>
      <c r="Q93" s="231"/>
      <c r="R93" s="416"/>
      <c r="S93" s="232"/>
    </row>
    <row r="94" spans="2:19" x14ac:dyDescent="0.2">
      <c r="B94" s="236"/>
      <c r="C94" s="240"/>
      <c r="D94" s="240"/>
      <c r="E94" s="240"/>
      <c r="F94" s="240"/>
      <c r="G94" s="240"/>
      <c r="H94" s="244"/>
      <c r="I94" s="248"/>
      <c r="J94" s="240"/>
      <c r="K94" s="240"/>
      <c r="L94" s="240"/>
      <c r="M94" s="244"/>
      <c r="N94" s="248"/>
      <c r="O94" s="240"/>
      <c r="P94" s="240"/>
      <c r="Q94" s="229"/>
      <c r="R94" s="415"/>
      <c r="S94" s="230"/>
    </row>
    <row r="95" spans="2:19" ht="17" customHeight="1" x14ac:dyDescent="0.2">
      <c r="B95" s="237"/>
      <c r="C95" s="241"/>
      <c r="D95" s="241"/>
      <c r="E95" s="241"/>
      <c r="F95" s="241"/>
      <c r="G95" s="241"/>
      <c r="H95" s="245"/>
      <c r="I95" s="249"/>
      <c r="J95" s="241"/>
      <c r="K95" s="241"/>
      <c r="L95" s="241"/>
      <c r="M95" s="245"/>
      <c r="N95" s="249"/>
      <c r="O95" s="241"/>
      <c r="P95" s="241"/>
      <c r="Q95" s="231"/>
      <c r="R95" s="416"/>
      <c r="S95" s="232"/>
    </row>
    <row r="96" spans="2:19" x14ac:dyDescent="0.2">
      <c r="B96" s="236"/>
      <c r="C96" s="240"/>
      <c r="D96" s="240"/>
      <c r="E96" s="240"/>
      <c r="F96" s="240"/>
      <c r="G96" s="240"/>
      <c r="H96" s="244"/>
      <c r="I96" s="248"/>
      <c r="J96" s="240"/>
      <c r="K96" s="240"/>
      <c r="L96" s="240"/>
      <c r="M96" s="244"/>
      <c r="N96" s="248"/>
      <c r="O96" s="240"/>
      <c r="P96" s="240"/>
      <c r="Q96" s="229"/>
      <c r="R96" s="415"/>
      <c r="S96" s="230"/>
    </row>
    <row r="97" spans="2:19" x14ac:dyDescent="0.2">
      <c r="B97" s="237"/>
      <c r="C97" s="241"/>
      <c r="D97" s="241"/>
      <c r="E97" s="241"/>
      <c r="F97" s="241"/>
      <c r="G97" s="241"/>
      <c r="H97" s="245"/>
      <c r="I97" s="249"/>
      <c r="J97" s="241"/>
      <c r="K97" s="241"/>
      <c r="L97" s="241"/>
      <c r="M97" s="245"/>
      <c r="N97" s="249"/>
      <c r="O97" s="241"/>
      <c r="P97" s="241"/>
      <c r="Q97" s="231"/>
      <c r="R97" s="416"/>
      <c r="S97" s="232"/>
    </row>
    <row r="98" spans="2:19" x14ac:dyDescent="0.2">
      <c r="B98" s="236"/>
      <c r="C98" s="240"/>
      <c r="D98" s="240"/>
      <c r="E98" s="240"/>
      <c r="F98" s="240"/>
      <c r="G98" s="240"/>
      <c r="H98" s="244"/>
      <c r="I98" s="248"/>
      <c r="J98" s="240"/>
      <c r="K98" s="240"/>
      <c r="L98" s="240"/>
      <c r="M98" s="244"/>
      <c r="N98" s="248"/>
      <c r="O98" s="240"/>
      <c r="P98" s="240"/>
      <c r="Q98" s="229"/>
      <c r="R98" s="415"/>
      <c r="S98" s="230"/>
    </row>
    <row r="99" spans="2:19" ht="17" customHeight="1" x14ac:dyDescent="0.2">
      <c r="B99" s="237"/>
      <c r="C99" s="241"/>
      <c r="D99" s="241"/>
      <c r="E99" s="241"/>
      <c r="F99" s="241"/>
      <c r="G99" s="241"/>
      <c r="H99" s="245"/>
      <c r="I99" s="249"/>
      <c r="J99" s="241"/>
      <c r="K99" s="241"/>
      <c r="L99" s="241"/>
      <c r="M99" s="245"/>
      <c r="N99" s="249"/>
      <c r="O99" s="241"/>
      <c r="P99" s="241"/>
      <c r="Q99" s="231"/>
      <c r="R99" s="416"/>
      <c r="S99" s="232"/>
    </row>
    <row r="100" spans="2:19" x14ac:dyDescent="0.2">
      <c r="B100" s="236"/>
      <c r="C100" s="240"/>
      <c r="D100" s="240"/>
      <c r="E100" s="240"/>
      <c r="F100" s="240"/>
      <c r="G100" s="240"/>
      <c r="H100" s="244"/>
      <c r="I100" s="248"/>
      <c r="J100" s="240"/>
      <c r="K100" s="240"/>
      <c r="L100" s="240"/>
      <c r="M100" s="244"/>
      <c r="N100" s="248"/>
      <c r="O100" s="240"/>
      <c r="P100" s="240"/>
      <c r="Q100" s="229"/>
      <c r="R100" s="415"/>
      <c r="S100" s="230"/>
    </row>
    <row r="101" spans="2:19" x14ac:dyDescent="0.2">
      <c r="B101" s="237"/>
      <c r="C101" s="241"/>
      <c r="D101" s="241"/>
      <c r="E101" s="241"/>
      <c r="F101" s="241"/>
      <c r="G101" s="241"/>
      <c r="H101" s="245"/>
      <c r="I101" s="249"/>
      <c r="J101" s="241"/>
      <c r="K101" s="241"/>
      <c r="L101" s="241"/>
      <c r="M101" s="245"/>
      <c r="N101" s="249"/>
      <c r="O101" s="241"/>
      <c r="P101" s="241"/>
      <c r="Q101" s="231"/>
      <c r="R101" s="416"/>
      <c r="S101" s="232"/>
    </row>
    <row r="102" spans="2:19" x14ac:dyDescent="0.2">
      <c r="B102" s="236"/>
      <c r="C102" s="240"/>
      <c r="D102" s="240"/>
      <c r="E102" s="240"/>
      <c r="F102" s="240"/>
      <c r="G102" s="240"/>
      <c r="H102" s="244"/>
      <c r="I102" s="248"/>
      <c r="J102" s="240"/>
      <c r="K102" s="240"/>
      <c r="L102" s="240"/>
      <c r="M102" s="244"/>
      <c r="N102" s="248"/>
      <c r="O102" s="240"/>
      <c r="P102" s="240"/>
      <c r="Q102" s="229"/>
      <c r="R102" s="415"/>
      <c r="S102" s="230"/>
    </row>
    <row r="103" spans="2:19" ht="17" customHeight="1" x14ac:dyDescent="0.2">
      <c r="B103" s="237"/>
      <c r="C103" s="241"/>
      <c r="D103" s="241"/>
      <c r="E103" s="241"/>
      <c r="F103" s="241"/>
      <c r="G103" s="241"/>
      <c r="H103" s="245"/>
      <c r="I103" s="249"/>
      <c r="J103" s="241"/>
      <c r="K103" s="241"/>
      <c r="L103" s="241"/>
      <c r="M103" s="245"/>
      <c r="N103" s="249"/>
      <c r="O103" s="241"/>
      <c r="P103" s="241"/>
      <c r="Q103" s="231"/>
      <c r="R103" s="416"/>
      <c r="S103" s="232"/>
    </row>
    <row r="104" spans="2:19" x14ac:dyDescent="0.2">
      <c r="B104" s="236"/>
      <c r="C104" s="240"/>
      <c r="D104" s="240"/>
      <c r="E104" s="240"/>
      <c r="F104" s="240"/>
      <c r="G104" s="240"/>
      <c r="H104" s="244"/>
      <c r="I104" s="248"/>
      <c r="J104" s="240"/>
      <c r="K104" s="240"/>
      <c r="L104" s="240"/>
      <c r="M104" s="244"/>
      <c r="N104" s="248"/>
      <c r="O104" s="240"/>
      <c r="P104" s="240"/>
      <c r="Q104" s="229"/>
      <c r="R104" s="415"/>
      <c r="S104" s="230"/>
    </row>
    <row r="105" spans="2:19" x14ac:dyDescent="0.2">
      <c r="B105" s="237"/>
      <c r="C105" s="241"/>
      <c r="D105" s="241"/>
      <c r="E105" s="241"/>
      <c r="F105" s="241"/>
      <c r="G105" s="241"/>
      <c r="H105" s="245"/>
      <c r="I105" s="249"/>
      <c r="J105" s="241"/>
      <c r="K105" s="241"/>
      <c r="L105" s="241"/>
      <c r="M105" s="245"/>
      <c r="N105" s="249"/>
      <c r="O105" s="241"/>
      <c r="P105" s="241"/>
      <c r="Q105" s="231"/>
      <c r="R105" s="416"/>
      <c r="S105" s="232"/>
    </row>
    <row r="106" spans="2:19" x14ac:dyDescent="0.2">
      <c r="B106" s="236"/>
      <c r="C106" s="240"/>
      <c r="D106" s="240"/>
      <c r="E106" s="240"/>
      <c r="F106" s="240"/>
      <c r="G106" s="240"/>
      <c r="H106" s="244"/>
      <c r="I106" s="248"/>
      <c r="J106" s="240"/>
      <c r="K106" s="240"/>
      <c r="L106" s="240"/>
      <c r="M106" s="244"/>
      <c r="N106" s="248"/>
      <c r="O106" s="240"/>
      <c r="P106" s="240"/>
      <c r="Q106" s="229"/>
      <c r="R106" s="415"/>
      <c r="S106" s="230"/>
    </row>
    <row r="107" spans="2:19" ht="17" customHeight="1" x14ac:dyDescent="0.2">
      <c r="B107" s="237"/>
      <c r="C107" s="241"/>
      <c r="D107" s="241"/>
      <c r="E107" s="241"/>
      <c r="F107" s="241"/>
      <c r="G107" s="241"/>
      <c r="H107" s="245"/>
      <c r="I107" s="249"/>
      <c r="J107" s="241"/>
      <c r="K107" s="241"/>
      <c r="L107" s="241"/>
      <c r="M107" s="245"/>
      <c r="N107" s="249"/>
      <c r="O107" s="241"/>
      <c r="P107" s="241"/>
      <c r="Q107" s="231"/>
      <c r="R107" s="416"/>
      <c r="S107" s="232"/>
    </row>
    <row r="108" spans="2:19" ht="17" customHeight="1" x14ac:dyDescent="0.2">
      <c r="B108" s="236"/>
      <c r="C108" s="240"/>
      <c r="D108" s="240"/>
      <c r="E108" s="240"/>
      <c r="F108" s="240"/>
      <c r="G108" s="240"/>
      <c r="H108" s="244"/>
      <c r="I108" s="248"/>
      <c r="J108" s="240"/>
      <c r="K108" s="240"/>
      <c r="L108" s="240"/>
      <c r="M108" s="244"/>
      <c r="N108" s="248"/>
      <c r="O108" s="240"/>
      <c r="P108" s="240"/>
      <c r="Q108" s="229"/>
      <c r="R108" s="415"/>
      <c r="S108" s="230"/>
    </row>
    <row r="109" spans="2:19" x14ac:dyDescent="0.2">
      <c r="B109" s="237"/>
      <c r="C109" s="241"/>
      <c r="D109" s="241"/>
      <c r="E109" s="241"/>
      <c r="F109" s="241"/>
      <c r="G109" s="241"/>
      <c r="H109" s="245"/>
      <c r="I109" s="249"/>
      <c r="J109" s="241"/>
      <c r="K109" s="241"/>
      <c r="L109" s="241"/>
      <c r="M109" s="245"/>
      <c r="N109" s="249"/>
      <c r="O109" s="241"/>
      <c r="P109" s="241"/>
      <c r="Q109" s="231"/>
      <c r="R109" s="416"/>
      <c r="S109" s="232"/>
    </row>
    <row r="110" spans="2:19" x14ac:dyDescent="0.2">
      <c r="B110" s="236"/>
      <c r="C110" s="240"/>
      <c r="D110" s="240"/>
      <c r="E110" s="240"/>
      <c r="F110" s="240"/>
      <c r="G110" s="240"/>
      <c r="H110" s="244"/>
      <c r="I110" s="248"/>
      <c r="J110" s="240"/>
      <c r="K110" s="240"/>
      <c r="L110" s="240"/>
      <c r="M110" s="244"/>
      <c r="N110" s="248"/>
      <c r="O110" s="240"/>
      <c r="P110" s="240"/>
      <c r="Q110" s="229"/>
      <c r="R110" s="415"/>
      <c r="S110" s="230"/>
    </row>
    <row r="111" spans="2:19" ht="17" customHeight="1" x14ac:dyDescent="0.2">
      <c r="B111" s="237"/>
      <c r="C111" s="241"/>
      <c r="D111" s="241"/>
      <c r="E111" s="241"/>
      <c r="F111" s="241"/>
      <c r="G111" s="241"/>
      <c r="H111" s="245"/>
      <c r="I111" s="249"/>
      <c r="J111" s="241"/>
      <c r="K111" s="241"/>
      <c r="L111" s="241"/>
      <c r="M111" s="245"/>
      <c r="N111" s="249"/>
      <c r="O111" s="241"/>
      <c r="P111" s="241"/>
      <c r="Q111" s="231"/>
      <c r="R111" s="416"/>
      <c r="S111" s="232"/>
    </row>
    <row r="112" spans="2:19" x14ac:dyDescent="0.2">
      <c r="B112" s="236"/>
      <c r="C112" s="240"/>
      <c r="D112" s="240"/>
      <c r="E112" s="240"/>
      <c r="F112" s="240"/>
      <c r="G112" s="240"/>
      <c r="H112" s="244"/>
      <c r="I112" s="248"/>
      <c r="J112" s="240"/>
      <c r="K112" s="240"/>
      <c r="L112" s="240"/>
      <c r="M112" s="244"/>
      <c r="N112" s="248"/>
      <c r="O112" s="240"/>
      <c r="P112" s="240"/>
      <c r="Q112" s="229"/>
      <c r="R112" s="415"/>
      <c r="S112" s="230"/>
    </row>
    <row r="113" spans="2:19" x14ac:dyDescent="0.2">
      <c r="B113" s="237"/>
      <c r="C113" s="241"/>
      <c r="D113" s="241"/>
      <c r="E113" s="241"/>
      <c r="F113" s="241"/>
      <c r="G113" s="241"/>
      <c r="H113" s="245"/>
      <c r="I113" s="249"/>
      <c r="J113" s="241"/>
      <c r="K113" s="241"/>
      <c r="L113" s="241"/>
      <c r="M113" s="245"/>
      <c r="N113" s="249"/>
      <c r="O113" s="241"/>
      <c r="P113" s="241"/>
      <c r="Q113" s="231"/>
      <c r="R113" s="416"/>
      <c r="S113" s="232"/>
    </row>
    <row r="114" spans="2:19" x14ac:dyDescent="0.2">
      <c r="B114" s="236"/>
      <c r="C114" s="240"/>
      <c r="D114" s="240"/>
      <c r="E114" s="240"/>
      <c r="F114" s="240"/>
      <c r="G114" s="240"/>
      <c r="H114" s="244"/>
      <c r="I114" s="248"/>
      <c r="J114" s="240"/>
      <c r="K114" s="240"/>
      <c r="L114" s="240"/>
      <c r="M114" s="244"/>
      <c r="N114" s="248"/>
      <c r="O114" s="240"/>
      <c r="P114" s="240"/>
      <c r="Q114" s="229"/>
      <c r="R114" s="415"/>
      <c r="S114" s="230"/>
    </row>
    <row r="115" spans="2:19" ht="17" customHeight="1" x14ac:dyDescent="0.2">
      <c r="B115" s="237"/>
      <c r="C115" s="241"/>
      <c r="D115" s="241"/>
      <c r="E115" s="241"/>
      <c r="F115" s="241"/>
      <c r="G115" s="241"/>
      <c r="H115" s="245"/>
      <c r="I115" s="249"/>
      <c r="J115" s="241"/>
      <c r="K115" s="241"/>
      <c r="L115" s="241"/>
      <c r="M115" s="245"/>
      <c r="N115" s="249"/>
      <c r="O115" s="241"/>
      <c r="P115" s="241"/>
      <c r="Q115" s="231"/>
      <c r="R115" s="416"/>
      <c r="S115" s="232"/>
    </row>
    <row r="116" spans="2:19" x14ac:dyDescent="0.2">
      <c r="B116" s="236"/>
      <c r="C116" s="240"/>
      <c r="D116" s="240"/>
      <c r="E116" s="240"/>
      <c r="F116" s="240"/>
      <c r="G116" s="240"/>
      <c r="H116" s="244"/>
      <c r="I116" s="248"/>
      <c r="J116" s="240"/>
      <c r="K116" s="240"/>
      <c r="L116" s="240"/>
      <c r="M116" s="244"/>
      <c r="N116" s="248"/>
      <c r="O116" s="240"/>
      <c r="P116" s="240"/>
      <c r="Q116" s="229"/>
      <c r="R116" s="415"/>
      <c r="S116" s="230"/>
    </row>
    <row r="117" spans="2:19" x14ac:dyDescent="0.2">
      <c r="B117" s="237"/>
      <c r="C117" s="241"/>
      <c r="D117" s="241"/>
      <c r="E117" s="241"/>
      <c r="F117" s="241"/>
      <c r="G117" s="241"/>
      <c r="H117" s="245"/>
      <c r="I117" s="249"/>
      <c r="J117" s="241"/>
      <c r="K117" s="241"/>
      <c r="L117" s="241"/>
      <c r="M117" s="245"/>
      <c r="N117" s="249"/>
      <c r="O117" s="241"/>
      <c r="P117" s="241"/>
      <c r="Q117" s="231"/>
      <c r="R117" s="416"/>
      <c r="S117" s="232"/>
    </row>
    <row r="118" spans="2:19" x14ac:dyDescent="0.2">
      <c r="B118" s="236"/>
      <c r="C118" s="240"/>
      <c r="D118" s="240"/>
      <c r="E118" s="240"/>
      <c r="F118" s="240"/>
      <c r="G118" s="240"/>
      <c r="H118" s="244"/>
      <c r="I118" s="248"/>
      <c r="J118" s="240"/>
      <c r="K118" s="240"/>
      <c r="L118" s="240"/>
      <c r="M118" s="244"/>
      <c r="N118" s="248"/>
      <c r="O118" s="240"/>
      <c r="P118" s="240"/>
      <c r="Q118" s="229"/>
      <c r="R118" s="415"/>
      <c r="S118" s="230"/>
    </row>
    <row r="119" spans="2:19" ht="17" customHeight="1" x14ac:dyDescent="0.2">
      <c r="B119" s="237"/>
      <c r="C119" s="241"/>
      <c r="D119" s="241"/>
      <c r="E119" s="241"/>
      <c r="F119" s="241"/>
      <c r="G119" s="241"/>
      <c r="H119" s="245"/>
      <c r="I119" s="249"/>
      <c r="J119" s="241"/>
      <c r="K119" s="241"/>
      <c r="L119" s="241"/>
      <c r="M119" s="245"/>
      <c r="N119" s="249"/>
      <c r="O119" s="241"/>
      <c r="P119" s="241"/>
      <c r="Q119" s="231"/>
      <c r="R119" s="416"/>
      <c r="S119" s="232"/>
    </row>
    <row r="120" spans="2:19" x14ac:dyDescent="0.2">
      <c r="B120" s="236"/>
      <c r="C120" s="240"/>
      <c r="D120" s="240"/>
      <c r="E120" s="240"/>
      <c r="F120" s="240"/>
      <c r="G120" s="240"/>
      <c r="H120" s="244"/>
      <c r="I120" s="248"/>
      <c r="J120" s="240"/>
      <c r="K120" s="240"/>
      <c r="L120" s="240"/>
      <c r="M120" s="244"/>
      <c r="N120" s="248"/>
      <c r="O120" s="240"/>
      <c r="P120" s="240"/>
      <c r="Q120" s="229"/>
      <c r="R120" s="415"/>
      <c r="S120" s="230"/>
    </row>
    <row r="121" spans="2:19" x14ac:dyDescent="0.2">
      <c r="B121" s="237"/>
      <c r="C121" s="241"/>
      <c r="D121" s="241"/>
      <c r="E121" s="241"/>
      <c r="F121" s="241"/>
      <c r="G121" s="241"/>
      <c r="H121" s="245"/>
      <c r="I121" s="249"/>
      <c r="J121" s="241"/>
      <c r="K121" s="241"/>
      <c r="L121" s="241"/>
      <c r="M121" s="245"/>
      <c r="N121" s="249"/>
      <c r="O121" s="241"/>
      <c r="P121" s="241"/>
      <c r="Q121" s="231"/>
      <c r="R121" s="416"/>
      <c r="S121" s="232"/>
    </row>
    <row r="122" spans="2:19" x14ac:dyDescent="0.2">
      <c r="B122" s="236"/>
      <c r="C122" s="240"/>
      <c r="D122" s="240"/>
      <c r="E122" s="240"/>
      <c r="F122" s="240"/>
      <c r="G122" s="240"/>
      <c r="H122" s="244"/>
      <c r="I122" s="248"/>
      <c r="J122" s="240"/>
      <c r="K122" s="240"/>
      <c r="L122" s="240"/>
      <c r="M122" s="244"/>
      <c r="N122" s="248"/>
      <c r="O122" s="240"/>
      <c r="P122" s="240"/>
      <c r="Q122" s="229"/>
      <c r="R122" s="415"/>
      <c r="S122" s="230"/>
    </row>
    <row r="123" spans="2:19" ht="17" customHeight="1" x14ac:dyDescent="0.2">
      <c r="B123" s="237"/>
      <c r="C123" s="241"/>
      <c r="D123" s="241"/>
      <c r="E123" s="241"/>
      <c r="F123" s="241"/>
      <c r="G123" s="241"/>
      <c r="H123" s="245"/>
      <c r="I123" s="249"/>
      <c r="J123" s="241"/>
      <c r="K123" s="241"/>
      <c r="L123" s="241"/>
      <c r="M123" s="245"/>
      <c r="N123" s="249"/>
      <c r="O123" s="241"/>
      <c r="P123" s="241"/>
      <c r="Q123" s="231"/>
      <c r="R123" s="416"/>
      <c r="S123" s="232"/>
    </row>
    <row r="124" spans="2:19" ht="17" customHeight="1" x14ac:dyDescent="0.2">
      <c r="B124" s="236"/>
      <c r="C124" s="240"/>
      <c r="D124" s="240"/>
      <c r="E124" s="240"/>
      <c r="F124" s="240"/>
      <c r="G124" s="240"/>
      <c r="H124" s="244"/>
      <c r="I124" s="248"/>
      <c r="J124" s="240"/>
      <c r="K124" s="240"/>
      <c r="L124" s="240"/>
      <c r="M124" s="244"/>
      <c r="N124" s="248"/>
      <c r="O124" s="240"/>
      <c r="P124" s="240"/>
      <c r="Q124" s="229"/>
      <c r="R124" s="415"/>
      <c r="S124" s="230"/>
    </row>
    <row r="125" spans="2:19" x14ac:dyDescent="0.2">
      <c r="B125" s="237"/>
      <c r="C125" s="241"/>
      <c r="D125" s="241"/>
      <c r="E125" s="241"/>
      <c r="F125" s="241"/>
      <c r="G125" s="241"/>
      <c r="H125" s="245"/>
      <c r="I125" s="249"/>
      <c r="J125" s="241"/>
      <c r="K125" s="241"/>
      <c r="L125" s="241"/>
      <c r="M125" s="245"/>
      <c r="N125" s="249"/>
      <c r="O125" s="241"/>
      <c r="P125" s="241"/>
      <c r="Q125" s="231"/>
      <c r="R125" s="416"/>
      <c r="S125" s="232"/>
    </row>
    <row r="126" spans="2:19" x14ac:dyDescent="0.2">
      <c r="B126" s="236"/>
      <c r="C126" s="240"/>
      <c r="D126" s="240"/>
      <c r="E126" s="240"/>
      <c r="F126" s="240"/>
      <c r="G126" s="240"/>
      <c r="H126" s="244"/>
      <c r="I126" s="248"/>
      <c r="J126" s="240"/>
      <c r="K126" s="240"/>
      <c r="L126" s="240"/>
      <c r="M126" s="244"/>
      <c r="N126" s="248"/>
      <c r="O126" s="240"/>
      <c r="P126" s="240"/>
      <c r="Q126" s="229"/>
      <c r="R126" s="415"/>
      <c r="S126" s="230"/>
    </row>
    <row r="127" spans="2:19" ht="17" customHeight="1" x14ac:dyDescent="0.2">
      <c r="B127" s="237"/>
      <c r="C127" s="241"/>
      <c r="D127" s="241"/>
      <c r="E127" s="241"/>
      <c r="F127" s="241"/>
      <c r="G127" s="241"/>
      <c r="H127" s="245"/>
      <c r="I127" s="249"/>
      <c r="J127" s="241"/>
      <c r="K127" s="241"/>
      <c r="L127" s="241"/>
      <c r="M127" s="245"/>
      <c r="N127" s="249"/>
      <c r="O127" s="241"/>
      <c r="P127" s="241"/>
      <c r="Q127" s="231"/>
      <c r="R127" s="416"/>
      <c r="S127" s="232"/>
    </row>
    <row r="128" spans="2:19" x14ac:dyDescent="0.2">
      <c r="B128" s="236"/>
      <c r="C128" s="240"/>
      <c r="D128" s="240"/>
      <c r="E128" s="240"/>
      <c r="F128" s="240"/>
      <c r="G128" s="240"/>
      <c r="H128" s="244"/>
      <c r="I128" s="248"/>
      <c r="J128" s="240"/>
      <c r="K128" s="240"/>
      <c r="L128" s="240"/>
      <c r="M128" s="244"/>
      <c r="N128" s="248"/>
      <c r="O128" s="240"/>
      <c r="P128" s="240"/>
      <c r="Q128" s="229"/>
      <c r="R128" s="415"/>
      <c r="S128" s="230"/>
    </row>
    <row r="129" spans="2:19" x14ac:dyDescent="0.2">
      <c r="B129" s="237"/>
      <c r="C129" s="241"/>
      <c r="D129" s="241"/>
      <c r="E129" s="241"/>
      <c r="F129" s="241"/>
      <c r="G129" s="241"/>
      <c r="H129" s="245"/>
      <c r="I129" s="249"/>
      <c r="J129" s="241"/>
      <c r="K129" s="241"/>
      <c r="L129" s="241"/>
      <c r="M129" s="245"/>
      <c r="N129" s="249"/>
      <c r="O129" s="241"/>
      <c r="P129" s="241"/>
      <c r="Q129" s="231"/>
      <c r="R129" s="416"/>
      <c r="S129" s="232"/>
    </row>
    <row r="130" spans="2:19" x14ac:dyDescent="0.2">
      <c r="B130" s="236"/>
      <c r="C130" s="240"/>
      <c r="D130" s="240"/>
      <c r="E130" s="240"/>
      <c r="F130" s="240"/>
      <c r="G130" s="240"/>
      <c r="H130" s="244"/>
      <c r="I130" s="248"/>
      <c r="J130" s="240"/>
      <c r="K130" s="240"/>
      <c r="L130" s="240"/>
      <c r="M130" s="244"/>
      <c r="N130" s="248"/>
      <c r="O130" s="240"/>
      <c r="P130" s="240"/>
      <c r="Q130" s="229"/>
      <c r="R130" s="415"/>
      <c r="S130" s="230"/>
    </row>
    <row r="131" spans="2:19" ht="17" customHeight="1" x14ac:dyDescent="0.2">
      <c r="B131" s="237"/>
      <c r="C131" s="241"/>
      <c r="D131" s="241"/>
      <c r="E131" s="241"/>
      <c r="F131" s="241"/>
      <c r="G131" s="241"/>
      <c r="H131" s="245"/>
      <c r="I131" s="249"/>
      <c r="J131" s="241"/>
      <c r="K131" s="241"/>
      <c r="L131" s="241"/>
      <c r="M131" s="245"/>
      <c r="N131" s="249"/>
      <c r="O131" s="241"/>
      <c r="P131" s="241"/>
      <c r="Q131" s="231"/>
      <c r="R131" s="416"/>
      <c r="S131" s="232"/>
    </row>
    <row r="132" spans="2:19" x14ac:dyDescent="0.2">
      <c r="B132" s="236"/>
      <c r="C132" s="240"/>
      <c r="D132" s="240"/>
      <c r="E132" s="240"/>
      <c r="F132" s="240"/>
      <c r="G132" s="240"/>
      <c r="H132" s="244"/>
      <c r="I132" s="248"/>
      <c r="J132" s="240"/>
      <c r="K132" s="240"/>
      <c r="L132" s="240"/>
      <c r="M132" s="244"/>
      <c r="N132" s="248"/>
      <c r="O132" s="240"/>
      <c r="P132" s="240"/>
      <c r="Q132" s="229"/>
      <c r="R132" s="415"/>
      <c r="S132" s="230"/>
    </row>
    <row r="133" spans="2:19" x14ac:dyDescent="0.2">
      <c r="B133" s="237"/>
      <c r="C133" s="241"/>
      <c r="D133" s="241"/>
      <c r="E133" s="241"/>
      <c r="F133" s="241"/>
      <c r="G133" s="241"/>
      <c r="H133" s="245"/>
      <c r="I133" s="249"/>
      <c r="J133" s="241"/>
      <c r="K133" s="241"/>
      <c r="L133" s="241"/>
      <c r="M133" s="245"/>
      <c r="N133" s="249"/>
      <c r="O133" s="241"/>
      <c r="P133" s="241"/>
      <c r="Q133" s="231"/>
      <c r="R133" s="416"/>
      <c r="S133" s="232"/>
    </row>
    <row r="134" spans="2:19" x14ac:dyDescent="0.2">
      <c r="B134" s="236"/>
      <c r="C134" s="240"/>
      <c r="D134" s="240"/>
      <c r="E134" s="240"/>
      <c r="F134" s="240"/>
      <c r="G134" s="240"/>
      <c r="H134" s="244"/>
      <c r="I134" s="248"/>
      <c r="J134" s="240"/>
      <c r="K134" s="240"/>
      <c r="L134" s="240"/>
      <c r="M134" s="244"/>
      <c r="N134" s="248"/>
      <c r="O134" s="240"/>
      <c r="P134" s="240"/>
      <c r="Q134" s="229"/>
      <c r="R134" s="415"/>
      <c r="S134" s="230"/>
    </row>
    <row r="135" spans="2:19" ht="17" customHeight="1" x14ac:dyDescent="0.2">
      <c r="B135" s="237"/>
      <c r="C135" s="241"/>
      <c r="D135" s="241"/>
      <c r="E135" s="241"/>
      <c r="F135" s="241"/>
      <c r="G135" s="241"/>
      <c r="H135" s="245"/>
      <c r="I135" s="249"/>
      <c r="J135" s="241"/>
      <c r="K135" s="241"/>
      <c r="L135" s="241"/>
      <c r="M135" s="245"/>
      <c r="N135" s="249"/>
      <c r="O135" s="241"/>
      <c r="P135" s="241"/>
      <c r="Q135" s="231"/>
      <c r="R135" s="416"/>
      <c r="S135" s="232"/>
    </row>
    <row r="136" spans="2:19" x14ac:dyDescent="0.2">
      <c r="B136" s="236"/>
      <c r="C136" s="240"/>
      <c r="D136" s="240"/>
      <c r="E136" s="240"/>
      <c r="F136" s="240"/>
      <c r="G136" s="240"/>
      <c r="H136" s="244"/>
      <c r="I136" s="248"/>
      <c r="J136" s="240"/>
      <c r="K136" s="240"/>
      <c r="L136" s="240"/>
      <c r="M136" s="244"/>
      <c r="N136" s="248"/>
      <c r="O136" s="240"/>
      <c r="P136" s="240"/>
      <c r="Q136" s="229"/>
      <c r="R136" s="415"/>
      <c r="S136" s="230"/>
    </row>
    <row r="137" spans="2:19" x14ac:dyDescent="0.2">
      <c r="B137" s="237"/>
      <c r="C137" s="241"/>
      <c r="D137" s="241"/>
      <c r="E137" s="241"/>
      <c r="F137" s="241"/>
      <c r="G137" s="241"/>
      <c r="H137" s="245"/>
      <c r="I137" s="249"/>
      <c r="J137" s="241"/>
      <c r="K137" s="241"/>
      <c r="L137" s="241"/>
      <c r="M137" s="245"/>
      <c r="N137" s="249"/>
      <c r="O137" s="241"/>
      <c r="P137" s="241"/>
      <c r="Q137" s="231"/>
      <c r="R137" s="416"/>
      <c r="S137" s="232"/>
    </row>
    <row r="138" spans="2:19" x14ac:dyDescent="0.2">
      <c r="B138" s="236"/>
      <c r="C138" s="240"/>
      <c r="D138" s="240"/>
      <c r="E138" s="240"/>
      <c r="F138" s="240"/>
      <c r="G138" s="240"/>
      <c r="H138" s="244"/>
      <c r="I138" s="248"/>
      <c r="J138" s="240"/>
      <c r="K138" s="240"/>
      <c r="L138" s="240"/>
      <c r="M138" s="244"/>
      <c r="N138" s="248"/>
      <c r="O138" s="240"/>
      <c r="P138" s="240"/>
      <c r="Q138" s="229"/>
      <c r="R138" s="415"/>
      <c r="S138" s="230"/>
    </row>
    <row r="139" spans="2:19" ht="17" customHeight="1" x14ac:dyDescent="0.2">
      <c r="B139" s="237"/>
      <c r="C139" s="241"/>
      <c r="D139" s="241"/>
      <c r="E139" s="241"/>
      <c r="F139" s="241"/>
      <c r="G139" s="241"/>
      <c r="H139" s="245"/>
      <c r="I139" s="249"/>
      <c r="J139" s="241"/>
      <c r="K139" s="241"/>
      <c r="L139" s="241"/>
      <c r="M139" s="245"/>
      <c r="N139" s="249"/>
      <c r="O139" s="241"/>
      <c r="P139" s="241"/>
      <c r="Q139" s="231"/>
      <c r="R139" s="416"/>
      <c r="S139" s="232"/>
    </row>
    <row r="140" spans="2:19" ht="17" customHeight="1" x14ac:dyDescent="0.2">
      <c r="B140" s="236"/>
      <c r="C140" s="240"/>
      <c r="D140" s="240"/>
      <c r="E140" s="240"/>
      <c r="F140" s="240"/>
      <c r="G140" s="240"/>
      <c r="H140" s="244"/>
      <c r="I140" s="248"/>
      <c r="J140" s="240"/>
      <c r="K140" s="240"/>
      <c r="L140" s="240"/>
      <c r="M140" s="244"/>
      <c r="N140" s="248"/>
      <c r="O140" s="240"/>
      <c r="P140" s="240"/>
      <c r="Q140" s="229"/>
      <c r="R140" s="415"/>
      <c r="S140" s="230"/>
    </row>
    <row r="141" spans="2:19" x14ac:dyDescent="0.2">
      <c r="B141" s="237"/>
      <c r="C141" s="241"/>
      <c r="D141" s="241"/>
      <c r="E141" s="241"/>
      <c r="F141" s="241"/>
      <c r="G141" s="241"/>
      <c r="H141" s="245"/>
      <c r="I141" s="249"/>
      <c r="J141" s="241"/>
      <c r="K141" s="241"/>
      <c r="L141" s="241"/>
      <c r="M141" s="245"/>
      <c r="N141" s="249"/>
      <c r="O141" s="241"/>
      <c r="P141" s="241"/>
      <c r="Q141" s="231"/>
      <c r="R141" s="416"/>
      <c r="S141" s="232"/>
    </row>
    <row r="142" spans="2:19" x14ac:dyDescent="0.2">
      <c r="B142" s="236"/>
      <c r="C142" s="240"/>
      <c r="D142" s="240"/>
      <c r="E142" s="240"/>
      <c r="F142" s="240"/>
      <c r="G142" s="240"/>
      <c r="H142" s="244"/>
      <c r="I142" s="248"/>
      <c r="J142" s="240"/>
      <c r="K142" s="240"/>
      <c r="L142" s="240"/>
      <c r="M142" s="244"/>
      <c r="N142" s="248"/>
      <c r="O142" s="240"/>
      <c r="P142" s="240"/>
      <c r="Q142" s="229"/>
      <c r="R142" s="415"/>
      <c r="S142" s="230"/>
    </row>
    <row r="143" spans="2:19" ht="17" customHeight="1" x14ac:dyDescent="0.2">
      <c r="B143" s="237"/>
      <c r="C143" s="241"/>
      <c r="D143" s="241"/>
      <c r="E143" s="241"/>
      <c r="F143" s="241"/>
      <c r="G143" s="241"/>
      <c r="H143" s="245"/>
      <c r="I143" s="249"/>
      <c r="J143" s="241"/>
      <c r="K143" s="241"/>
      <c r="L143" s="241"/>
      <c r="M143" s="245"/>
      <c r="N143" s="249"/>
      <c r="O143" s="241"/>
      <c r="P143" s="241"/>
      <c r="Q143" s="231"/>
      <c r="R143" s="416"/>
      <c r="S143" s="232"/>
    </row>
    <row r="144" spans="2:19" x14ac:dyDescent="0.2">
      <c r="B144" s="236"/>
      <c r="C144" s="240"/>
      <c r="D144" s="240"/>
      <c r="E144" s="240"/>
      <c r="F144" s="240"/>
      <c r="G144" s="240"/>
      <c r="H144" s="244"/>
      <c r="I144" s="248"/>
      <c r="J144" s="240"/>
      <c r="K144" s="240"/>
      <c r="L144" s="240"/>
      <c r="M144" s="244"/>
      <c r="N144" s="248"/>
      <c r="O144" s="240"/>
      <c r="P144" s="240"/>
      <c r="Q144" s="229"/>
      <c r="R144" s="415"/>
      <c r="S144" s="230"/>
    </row>
    <row r="145" spans="2:19" x14ac:dyDescent="0.2">
      <c r="B145" s="237"/>
      <c r="C145" s="241"/>
      <c r="D145" s="241"/>
      <c r="E145" s="241"/>
      <c r="F145" s="241"/>
      <c r="G145" s="241"/>
      <c r="H145" s="245"/>
      <c r="I145" s="249"/>
      <c r="J145" s="241"/>
      <c r="K145" s="241"/>
      <c r="L145" s="241"/>
      <c r="M145" s="245"/>
      <c r="N145" s="249"/>
      <c r="O145" s="241"/>
      <c r="P145" s="241"/>
      <c r="Q145" s="231"/>
      <c r="R145" s="416"/>
      <c r="S145" s="232"/>
    </row>
    <row r="146" spans="2:19" x14ac:dyDescent="0.2">
      <c r="B146" s="236"/>
      <c r="C146" s="240"/>
      <c r="D146" s="240"/>
      <c r="E146" s="240"/>
      <c r="F146" s="240"/>
      <c r="G146" s="240"/>
      <c r="H146" s="244"/>
      <c r="I146" s="248"/>
      <c r="J146" s="240"/>
      <c r="K146" s="240"/>
      <c r="L146" s="240"/>
      <c r="M146" s="244"/>
      <c r="N146" s="248"/>
      <c r="O146" s="240"/>
      <c r="P146" s="240"/>
      <c r="Q146" s="229"/>
      <c r="R146" s="415"/>
      <c r="S146" s="230"/>
    </row>
    <row r="147" spans="2:19" ht="17" customHeight="1" x14ac:dyDescent="0.2">
      <c r="B147" s="237"/>
      <c r="C147" s="241"/>
      <c r="D147" s="241"/>
      <c r="E147" s="241"/>
      <c r="F147" s="241"/>
      <c r="G147" s="241"/>
      <c r="H147" s="245"/>
      <c r="I147" s="249"/>
      <c r="J147" s="241"/>
      <c r="K147" s="241"/>
      <c r="L147" s="241"/>
      <c r="M147" s="245"/>
      <c r="N147" s="249"/>
      <c r="O147" s="241"/>
      <c r="P147" s="241"/>
      <c r="Q147" s="231"/>
      <c r="R147" s="416"/>
      <c r="S147" s="232"/>
    </row>
    <row r="148" spans="2:19" x14ac:dyDescent="0.2">
      <c r="B148" s="236"/>
      <c r="C148" s="240"/>
      <c r="D148" s="240"/>
      <c r="E148" s="240"/>
      <c r="F148" s="240"/>
      <c r="G148" s="240"/>
      <c r="H148" s="244"/>
      <c r="I148" s="248"/>
      <c r="J148" s="240"/>
      <c r="K148" s="240"/>
      <c r="L148" s="240"/>
      <c r="M148" s="244"/>
      <c r="N148" s="248"/>
      <c r="O148" s="240"/>
      <c r="P148" s="240"/>
      <c r="Q148" s="229"/>
      <c r="R148" s="415"/>
      <c r="S148" s="230"/>
    </row>
    <row r="149" spans="2:19" x14ac:dyDescent="0.2">
      <c r="B149" s="237"/>
      <c r="C149" s="241"/>
      <c r="D149" s="241"/>
      <c r="E149" s="241"/>
      <c r="F149" s="241"/>
      <c r="G149" s="241"/>
      <c r="H149" s="245"/>
      <c r="I149" s="249"/>
      <c r="J149" s="241"/>
      <c r="K149" s="241"/>
      <c r="L149" s="241"/>
      <c r="M149" s="245"/>
      <c r="N149" s="249"/>
      <c r="O149" s="241"/>
      <c r="P149" s="241"/>
      <c r="Q149" s="231"/>
      <c r="R149" s="416"/>
      <c r="S149" s="232"/>
    </row>
    <row r="150" spans="2:19" x14ac:dyDescent="0.2">
      <c r="B150" s="236"/>
      <c r="C150" s="240"/>
      <c r="D150" s="240"/>
      <c r="E150" s="240"/>
      <c r="F150" s="240"/>
      <c r="G150" s="240"/>
      <c r="H150" s="244"/>
      <c r="I150" s="248"/>
      <c r="J150" s="240"/>
      <c r="K150" s="240"/>
      <c r="L150" s="240"/>
      <c r="M150" s="244"/>
      <c r="N150" s="248"/>
      <c r="O150" s="240"/>
      <c r="P150" s="240"/>
      <c r="Q150" s="229"/>
      <c r="R150" s="415"/>
      <c r="S150" s="230"/>
    </row>
    <row r="151" spans="2:19" ht="17" customHeight="1" x14ac:dyDescent="0.2">
      <c r="B151" s="237"/>
      <c r="C151" s="241"/>
      <c r="D151" s="241"/>
      <c r="E151" s="241"/>
      <c r="F151" s="241"/>
      <c r="G151" s="241"/>
      <c r="H151" s="245"/>
      <c r="I151" s="249"/>
      <c r="J151" s="241"/>
      <c r="K151" s="241"/>
      <c r="L151" s="241"/>
      <c r="M151" s="245"/>
      <c r="N151" s="249"/>
      <c r="O151" s="241"/>
      <c r="P151" s="241"/>
      <c r="Q151" s="231"/>
      <c r="R151" s="416"/>
      <c r="S151" s="232"/>
    </row>
    <row r="152" spans="2:19" x14ac:dyDescent="0.2">
      <c r="B152" s="236"/>
      <c r="C152" s="240"/>
      <c r="D152" s="240"/>
      <c r="E152" s="240"/>
      <c r="F152" s="240"/>
      <c r="G152" s="240"/>
      <c r="H152" s="244"/>
      <c r="I152" s="248"/>
      <c r="J152" s="240"/>
      <c r="K152" s="240"/>
      <c r="L152" s="240"/>
      <c r="M152" s="244"/>
      <c r="N152" s="248"/>
      <c r="O152" s="240"/>
      <c r="P152" s="240"/>
      <c r="Q152" s="229"/>
      <c r="R152" s="415"/>
      <c r="S152" s="230"/>
    </row>
    <row r="153" spans="2:19" x14ac:dyDescent="0.2">
      <c r="B153" s="237"/>
      <c r="C153" s="241"/>
      <c r="D153" s="241"/>
      <c r="E153" s="241"/>
      <c r="F153" s="241"/>
      <c r="G153" s="241"/>
      <c r="H153" s="245"/>
      <c r="I153" s="249"/>
      <c r="J153" s="241"/>
      <c r="K153" s="241"/>
      <c r="L153" s="241"/>
      <c r="M153" s="245"/>
      <c r="N153" s="249"/>
      <c r="O153" s="241"/>
      <c r="P153" s="241"/>
      <c r="Q153" s="231"/>
      <c r="R153" s="416"/>
      <c r="S153" s="232"/>
    </row>
    <row r="154" spans="2:19" x14ac:dyDescent="0.2">
      <c r="B154" s="236"/>
      <c r="C154" s="240"/>
      <c r="D154" s="240"/>
      <c r="E154" s="240"/>
      <c r="F154" s="240"/>
      <c r="G154" s="240"/>
      <c r="H154" s="244"/>
      <c r="I154" s="248"/>
      <c r="J154" s="240"/>
      <c r="K154" s="240"/>
      <c r="L154" s="240"/>
      <c r="M154" s="244"/>
      <c r="N154" s="248"/>
      <c r="O154" s="240"/>
      <c r="P154" s="240"/>
      <c r="Q154" s="229"/>
      <c r="R154" s="415"/>
      <c r="S154" s="230"/>
    </row>
    <row r="155" spans="2:19" ht="17" customHeight="1" x14ac:dyDescent="0.2">
      <c r="B155" s="237"/>
      <c r="C155" s="241"/>
      <c r="D155" s="241"/>
      <c r="E155" s="241"/>
      <c r="F155" s="241"/>
      <c r="G155" s="241"/>
      <c r="H155" s="245"/>
      <c r="I155" s="249"/>
      <c r="J155" s="241"/>
      <c r="K155" s="241"/>
      <c r="L155" s="241"/>
      <c r="M155" s="245"/>
      <c r="N155" s="249"/>
      <c r="O155" s="241"/>
      <c r="P155" s="241"/>
      <c r="Q155" s="231"/>
      <c r="R155" s="416"/>
      <c r="S155" s="232"/>
    </row>
    <row r="156" spans="2:19" ht="17" customHeight="1" x14ac:dyDescent="0.2">
      <c r="B156" s="236"/>
      <c r="C156" s="240"/>
      <c r="D156" s="240"/>
      <c r="E156" s="240"/>
      <c r="F156" s="240"/>
      <c r="G156" s="240"/>
      <c r="H156" s="244"/>
      <c r="I156" s="248"/>
      <c r="J156" s="240"/>
      <c r="K156" s="240"/>
      <c r="L156" s="240"/>
      <c r="M156" s="244"/>
      <c r="N156" s="248"/>
      <c r="O156" s="240"/>
      <c r="P156" s="240"/>
      <c r="Q156" s="229"/>
      <c r="R156" s="415"/>
      <c r="S156" s="230"/>
    </row>
    <row r="157" spans="2:19" x14ac:dyDescent="0.2">
      <c r="B157" s="237"/>
      <c r="C157" s="241"/>
      <c r="D157" s="241"/>
      <c r="E157" s="241"/>
      <c r="F157" s="241"/>
      <c r="G157" s="241"/>
      <c r="H157" s="245"/>
      <c r="I157" s="249"/>
      <c r="J157" s="241"/>
      <c r="K157" s="241"/>
      <c r="L157" s="241"/>
      <c r="M157" s="245"/>
      <c r="N157" s="249"/>
      <c r="O157" s="241"/>
      <c r="P157" s="241"/>
      <c r="Q157" s="231"/>
      <c r="R157" s="416"/>
      <c r="S157" s="232"/>
    </row>
    <row r="158" spans="2:19" x14ac:dyDescent="0.2">
      <c r="B158" s="236"/>
      <c r="C158" s="240"/>
      <c r="D158" s="240"/>
      <c r="E158" s="240"/>
      <c r="F158" s="240"/>
      <c r="G158" s="240"/>
      <c r="H158" s="244"/>
      <c r="I158" s="248"/>
      <c r="J158" s="240"/>
      <c r="K158" s="240"/>
      <c r="L158" s="240"/>
      <c r="M158" s="244"/>
      <c r="N158" s="248"/>
      <c r="O158" s="240"/>
      <c r="P158" s="240"/>
      <c r="Q158" s="229"/>
      <c r="R158" s="415"/>
      <c r="S158" s="230"/>
    </row>
    <row r="159" spans="2:19" ht="17" customHeight="1" x14ac:dyDescent="0.2">
      <c r="B159" s="237"/>
      <c r="C159" s="241"/>
      <c r="D159" s="241"/>
      <c r="E159" s="241"/>
      <c r="F159" s="241"/>
      <c r="G159" s="241"/>
      <c r="H159" s="245"/>
      <c r="I159" s="249"/>
      <c r="J159" s="241"/>
      <c r="K159" s="241"/>
      <c r="L159" s="241"/>
      <c r="M159" s="245"/>
      <c r="N159" s="249"/>
      <c r="O159" s="241"/>
      <c r="P159" s="241"/>
      <c r="Q159" s="231"/>
      <c r="R159" s="416"/>
      <c r="S159" s="232"/>
    </row>
    <row r="160" spans="2:19" x14ac:dyDescent="0.2">
      <c r="B160" s="236"/>
      <c r="C160" s="240"/>
      <c r="D160" s="240"/>
      <c r="E160" s="240"/>
      <c r="F160" s="240"/>
      <c r="G160" s="240"/>
      <c r="H160" s="244"/>
      <c r="I160" s="248"/>
      <c r="J160" s="240"/>
      <c r="K160" s="240"/>
      <c r="L160" s="240"/>
      <c r="M160" s="244"/>
      <c r="N160" s="248"/>
      <c r="O160" s="240"/>
      <c r="P160" s="240"/>
      <c r="Q160" s="229"/>
      <c r="R160" s="415"/>
      <c r="S160" s="230"/>
    </row>
    <row r="161" spans="2:19" x14ac:dyDescent="0.2">
      <c r="B161" s="237"/>
      <c r="C161" s="241"/>
      <c r="D161" s="241"/>
      <c r="E161" s="241"/>
      <c r="F161" s="241"/>
      <c r="G161" s="241"/>
      <c r="H161" s="245"/>
      <c r="I161" s="249"/>
      <c r="J161" s="241"/>
      <c r="K161" s="241"/>
      <c r="L161" s="241"/>
      <c r="M161" s="245"/>
      <c r="N161" s="249"/>
      <c r="O161" s="241"/>
      <c r="P161" s="241"/>
      <c r="Q161" s="231"/>
      <c r="R161" s="416"/>
      <c r="S161" s="232"/>
    </row>
    <row r="162" spans="2:19" x14ac:dyDescent="0.2">
      <c r="B162" s="236"/>
      <c r="C162" s="240"/>
      <c r="D162" s="240"/>
      <c r="E162" s="240"/>
      <c r="F162" s="240"/>
      <c r="G162" s="240"/>
      <c r="H162" s="244"/>
      <c r="I162" s="248"/>
      <c r="J162" s="240"/>
      <c r="K162" s="240"/>
      <c r="L162" s="240"/>
      <c r="M162" s="244"/>
      <c r="N162" s="248"/>
      <c r="O162" s="240"/>
      <c r="P162" s="240"/>
      <c r="Q162" s="229"/>
      <c r="R162" s="415"/>
      <c r="S162" s="230"/>
    </row>
    <row r="163" spans="2:19" ht="17" customHeight="1" x14ac:dyDescent="0.2">
      <c r="B163" s="237"/>
      <c r="C163" s="241"/>
      <c r="D163" s="241"/>
      <c r="E163" s="241"/>
      <c r="F163" s="241"/>
      <c r="G163" s="241"/>
      <c r="H163" s="245"/>
      <c r="I163" s="249"/>
      <c r="J163" s="241"/>
      <c r="K163" s="241"/>
      <c r="L163" s="241"/>
      <c r="M163" s="245"/>
      <c r="N163" s="249"/>
      <c r="O163" s="241"/>
      <c r="P163" s="241"/>
      <c r="Q163" s="231"/>
      <c r="R163" s="416"/>
      <c r="S163" s="232"/>
    </row>
    <row r="164" spans="2:19" x14ac:dyDescent="0.2">
      <c r="B164" s="236"/>
      <c r="C164" s="240"/>
      <c r="D164" s="240"/>
      <c r="E164" s="240"/>
      <c r="F164" s="240"/>
      <c r="G164" s="240"/>
      <c r="H164" s="244"/>
      <c r="I164" s="248"/>
      <c r="J164" s="240"/>
      <c r="K164" s="240"/>
      <c r="L164" s="240"/>
      <c r="M164" s="244"/>
      <c r="N164" s="248"/>
      <c r="O164" s="240"/>
      <c r="P164" s="240"/>
      <c r="Q164" s="229"/>
      <c r="R164" s="415"/>
      <c r="S164" s="230"/>
    </row>
    <row r="165" spans="2:19" x14ac:dyDescent="0.2">
      <c r="B165" s="237"/>
      <c r="C165" s="241"/>
      <c r="D165" s="241"/>
      <c r="E165" s="241"/>
      <c r="F165" s="241"/>
      <c r="G165" s="241"/>
      <c r="H165" s="245"/>
      <c r="I165" s="249"/>
      <c r="J165" s="241"/>
      <c r="K165" s="241"/>
      <c r="L165" s="241"/>
      <c r="M165" s="245"/>
      <c r="N165" s="249"/>
      <c r="O165" s="241"/>
      <c r="P165" s="241"/>
      <c r="Q165" s="231"/>
      <c r="R165" s="416"/>
      <c r="S165" s="232"/>
    </row>
    <row r="166" spans="2:19" x14ac:dyDescent="0.2">
      <c r="B166" s="236"/>
      <c r="C166" s="240"/>
      <c r="D166" s="240"/>
      <c r="E166" s="240"/>
      <c r="F166" s="240"/>
      <c r="G166" s="240"/>
      <c r="H166" s="244"/>
      <c r="I166" s="248"/>
      <c r="J166" s="240"/>
      <c r="K166" s="240"/>
      <c r="L166" s="240"/>
      <c r="M166" s="244"/>
      <c r="N166" s="248"/>
      <c r="O166" s="240"/>
      <c r="P166" s="240"/>
      <c r="Q166" s="229"/>
      <c r="R166" s="415"/>
      <c r="S166" s="230"/>
    </row>
    <row r="167" spans="2:19" ht="17" customHeight="1" x14ac:dyDescent="0.2">
      <c r="B167" s="237"/>
      <c r="C167" s="241"/>
      <c r="D167" s="241"/>
      <c r="E167" s="241"/>
      <c r="F167" s="241"/>
      <c r="G167" s="241"/>
      <c r="H167" s="245"/>
      <c r="I167" s="249"/>
      <c r="J167" s="241"/>
      <c r="K167" s="241"/>
      <c r="L167" s="241"/>
      <c r="M167" s="245"/>
      <c r="N167" s="249"/>
      <c r="O167" s="241"/>
      <c r="P167" s="241"/>
      <c r="Q167" s="231"/>
      <c r="R167" s="416"/>
      <c r="S167" s="232"/>
    </row>
    <row r="168" spans="2:19" x14ac:dyDescent="0.2">
      <c r="B168" s="236"/>
      <c r="C168" s="240"/>
      <c r="D168" s="240"/>
      <c r="E168" s="240"/>
      <c r="F168" s="240"/>
      <c r="G168" s="240"/>
      <c r="H168" s="244"/>
      <c r="I168" s="248"/>
      <c r="J168" s="240"/>
      <c r="K168" s="240"/>
      <c r="L168" s="240"/>
      <c r="M168" s="244"/>
      <c r="N168" s="248"/>
      <c r="O168" s="240"/>
      <c r="P168" s="240"/>
      <c r="Q168" s="229"/>
      <c r="R168" s="415"/>
      <c r="S168" s="230"/>
    </row>
    <row r="169" spans="2:19" x14ac:dyDescent="0.2">
      <c r="B169" s="237"/>
      <c r="C169" s="241"/>
      <c r="D169" s="241"/>
      <c r="E169" s="241"/>
      <c r="F169" s="241"/>
      <c r="G169" s="241"/>
      <c r="H169" s="245"/>
      <c r="I169" s="249"/>
      <c r="J169" s="241"/>
      <c r="K169" s="241"/>
      <c r="L169" s="241"/>
      <c r="M169" s="245"/>
      <c r="N169" s="249"/>
      <c r="O169" s="241"/>
      <c r="P169" s="241"/>
      <c r="Q169" s="231"/>
      <c r="R169" s="416"/>
      <c r="S169" s="232"/>
    </row>
    <row r="170" spans="2:19" x14ac:dyDescent="0.2">
      <c r="B170" s="236"/>
      <c r="C170" s="240"/>
      <c r="D170" s="240"/>
      <c r="E170" s="240"/>
      <c r="F170" s="240"/>
      <c r="G170" s="240"/>
      <c r="H170" s="244"/>
      <c r="I170" s="248"/>
      <c r="J170" s="240"/>
      <c r="K170" s="240"/>
      <c r="L170" s="240"/>
      <c r="M170" s="244"/>
      <c r="N170" s="248"/>
      <c r="O170" s="240"/>
      <c r="P170" s="240"/>
      <c r="Q170" s="229"/>
      <c r="R170" s="415"/>
      <c r="S170" s="230"/>
    </row>
    <row r="171" spans="2:19" ht="17" customHeight="1" x14ac:dyDescent="0.2">
      <c r="B171" s="237"/>
      <c r="C171" s="241"/>
      <c r="D171" s="241"/>
      <c r="E171" s="241"/>
      <c r="F171" s="241"/>
      <c r="G171" s="241"/>
      <c r="H171" s="245"/>
      <c r="I171" s="249"/>
      <c r="J171" s="241"/>
      <c r="K171" s="241"/>
      <c r="L171" s="241"/>
      <c r="M171" s="245"/>
      <c r="N171" s="249"/>
      <c r="O171" s="241"/>
      <c r="P171" s="241"/>
      <c r="Q171" s="231"/>
      <c r="R171" s="416"/>
      <c r="S171" s="232"/>
    </row>
    <row r="172" spans="2:19" ht="17" customHeight="1" x14ac:dyDescent="0.2">
      <c r="B172" s="236"/>
      <c r="C172" s="240"/>
      <c r="D172" s="240"/>
      <c r="E172" s="240"/>
      <c r="F172" s="240"/>
      <c r="G172" s="240"/>
      <c r="H172" s="244"/>
      <c r="I172" s="248"/>
      <c r="J172" s="240"/>
      <c r="K172" s="240"/>
      <c r="L172" s="240"/>
      <c r="M172" s="244"/>
      <c r="N172" s="248"/>
      <c r="O172" s="240"/>
      <c r="P172" s="240"/>
      <c r="Q172" s="229"/>
      <c r="R172" s="415"/>
      <c r="S172" s="230"/>
    </row>
    <row r="173" spans="2:19" x14ac:dyDescent="0.2">
      <c r="B173" s="237"/>
      <c r="C173" s="241"/>
      <c r="D173" s="241"/>
      <c r="E173" s="241"/>
      <c r="F173" s="241"/>
      <c r="G173" s="241"/>
      <c r="H173" s="245"/>
      <c r="I173" s="249"/>
      <c r="J173" s="241"/>
      <c r="K173" s="241"/>
      <c r="L173" s="241"/>
      <c r="M173" s="245"/>
      <c r="N173" s="249"/>
      <c r="O173" s="241"/>
      <c r="P173" s="241"/>
      <c r="Q173" s="231"/>
      <c r="R173" s="416"/>
      <c r="S173" s="232"/>
    </row>
    <row r="174" spans="2:19" x14ac:dyDescent="0.2">
      <c r="B174" s="236"/>
      <c r="C174" s="240"/>
      <c r="D174" s="240"/>
      <c r="E174" s="240"/>
      <c r="F174" s="240"/>
      <c r="G174" s="240"/>
      <c r="H174" s="244"/>
      <c r="I174" s="248"/>
      <c r="J174" s="240"/>
      <c r="K174" s="240"/>
      <c r="L174" s="240"/>
      <c r="M174" s="244"/>
      <c r="N174" s="248"/>
      <c r="O174" s="240"/>
      <c r="P174" s="240"/>
      <c r="Q174" s="229"/>
      <c r="R174" s="415"/>
      <c r="S174" s="230"/>
    </row>
    <row r="175" spans="2:19" ht="17" customHeight="1" x14ac:dyDescent="0.2">
      <c r="B175" s="237"/>
      <c r="C175" s="241"/>
      <c r="D175" s="241"/>
      <c r="E175" s="241"/>
      <c r="F175" s="241"/>
      <c r="G175" s="241"/>
      <c r="H175" s="245"/>
      <c r="I175" s="249"/>
      <c r="J175" s="241"/>
      <c r="K175" s="241"/>
      <c r="L175" s="241"/>
      <c r="M175" s="245"/>
      <c r="N175" s="249"/>
      <c r="O175" s="241"/>
      <c r="P175" s="241"/>
      <c r="Q175" s="231"/>
      <c r="R175" s="416"/>
      <c r="S175" s="232"/>
    </row>
    <row r="176" spans="2:19" x14ac:dyDescent="0.2">
      <c r="B176" s="236"/>
      <c r="C176" s="240"/>
      <c r="D176" s="240"/>
      <c r="E176" s="240"/>
      <c r="F176" s="240"/>
      <c r="G176" s="240"/>
      <c r="H176" s="244"/>
      <c r="I176" s="248"/>
      <c r="J176" s="240"/>
      <c r="K176" s="240"/>
      <c r="L176" s="240"/>
      <c r="M176" s="244"/>
      <c r="N176" s="248"/>
      <c r="O176" s="240"/>
      <c r="P176" s="240"/>
      <c r="Q176" s="229"/>
      <c r="R176" s="415"/>
      <c r="S176" s="230"/>
    </row>
    <row r="177" spans="2:19" x14ac:dyDescent="0.2">
      <c r="B177" s="237"/>
      <c r="C177" s="241"/>
      <c r="D177" s="241"/>
      <c r="E177" s="241"/>
      <c r="F177" s="241"/>
      <c r="G177" s="241"/>
      <c r="H177" s="245"/>
      <c r="I177" s="249"/>
      <c r="J177" s="241"/>
      <c r="K177" s="241"/>
      <c r="L177" s="241"/>
      <c r="M177" s="245"/>
      <c r="N177" s="249"/>
      <c r="O177" s="241"/>
      <c r="P177" s="241"/>
      <c r="Q177" s="231"/>
      <c r="R177" s="416"/>
      <c r="S177" s="232"/>
    </row>
    <row r="178" spans="2:19" x14ac:dyDescent="0.2">
      <c r="B178" s="236"/>
      <c r="C178" s="240"/>
      <c r="D178" s="240"/>
      <c r="E178" s="240"/>
      <c r="F178" s="240"/>
      <c r="G178" s="240"/>
      <c r="H178" s="244"/>
      <c r="I178" s="248"/>
      <c r="J178" s="240"/>
      <c r="K178" s="240"/>
      <c r="L178" s="240"/>
      <c r="M178" s="244"/>
      <c r="N178" s="248"/>
      <c r="O178" s="240"/>
      <c r="P178" s="240"/>
      <c r="Q178" s="229"/>
      <c r="R178" s="415"/>
      <c r="S178" s="230"/>
    </row>
    <row r="179" spans="2:19" ht="17" customHeight="1" x14ac:dyDescent="0.2">
      <c r="B179" s="237"/>
      <c r="C179" s="241"/>
      <c r="D179" s="241"/>
      <c r="E179" s="241"/>
      <c r="F179" s="241"/>
      <c r="G179" s="241"/>
      <c r="H179" s="245"/>
      <c r="I179" s="249"/>
      <c r="J179" s="241"/>
      <c r="K179" s="241"/>
      <c r="L179" s="241"/>
      <c r="M179" s="245"/>
      <c r="N179" s="249"/>
      <c r="O179" s="241"/>
      <c r="P179" s="241"/>
      <c r="Q179" s="231"/>
      <c r="R179" s="416"/>
      <c r="S179" s="232"/>
    </row>
    <row r="180" spans="2:19" x14ac:dyDescent="0.2">
      <c r="B180" s="236"/>
      <c r="C180" s="240"/>
      <c r="D180" s="240"/>
      <c r="E180" s="240"/>
      <c r="F180" s="240"/>
      <c r="G180" s="240"/>
      <c r="H180" s="244"/>
      <c r="I180" s="248"/>
      <c r="J180" s="240"/>
      <c r="K180" s="240"/>
      <c r="L180" s="240"/>
      <c r="M180" s="244"/>
      <c r="N180" s="248"/>
      <c r="O180" s="240"/>
      <c r="P180" s="240"/>
      <c r="Q180" s="229"/>
      <c r="R180" s="415"/>
      <c r="S180" s="230"/>
    </row>
    <row r="181" spans="2:19" x14ac:dyDescent="0.2">
      <c r="B181" s="237"/>
      <c r="C181" s="241"/>
      <c r="D181" s="241"/>
      <c r="E181" s="241"/>
      <c r="F181" s="241"/>
      <c r="G181" s="241"/>
      <c r="H181" s="245"/>
      <c r="I181" s="249"/>
      <c r="J181" s="241"/>
      <c r="K181" s="241"/>
      <c r="L181" s="241"/>
      <c r="M181" s="245"/>
      <c r="N181" s="249"/>
      <c r="O181" s="241"/>
      <c r="P181" s="241"/>
      <c r="Q181" s="231"/>
      <c r="R181" s="416"/>
      <c r="S181" s="232"/>
    </row>
    <row r="182" spans="2:19" x14ac:dyDescent="0.2">
      <c r="B182" s="236"/>
      <c r="C182" s="240"/>
      <c r="D182" s="240"/>
      <c r="E182" s="240"/>
      <c r="F182" s="240"/>
      <c r="G182" s="240"/>
      <c r="H182" s="244"/>
      <c r="I182" s="248"/>
      <c r="J182" s="240"/>
      <c r="K182" s="240"/>
      <c r="L182" s="240"/>
      <c r="M182" s="244"/>
      <c r="N182" s="248"/>
      <c r="O182" s="240"/>
      <c r="P182" s="240"/>
      <c r="Q182" s="229"/>
      <c r="R182" s="415"/>
      <c r="S182" s="230"/>
    </row>
    <row r="183" spans="2:19" ht="17" customHeight="1" x14ac:dyDescent="0.2">
      <c r="B183" s="237"/>
      <c r="C183" s="241"/>
      <c r="D183" s="241"/>
      <c r="E183" s="241"/>
      <c r="F183" s="241"/>
      <c r="G183" s="241"/>
      <c r="H183" s="245"/>
      <c r="I183" s="249"/>
      <c r="J183" s="241"/>
      <c r="K183" s="241"/>
      <c r="L183" s="241"/>
      <c r="M183" s="245"/>
      <c r="N183" s="249"/>
      <c r="O183" s="241"/>
      <c r="P183" s="241"/>
      <c r="Q183" s="231"/>
      <c r="R183" s="416"/>
      <c r="S183" s="232"/>
    </row>
    <row r="184" spans="2:19" x14ac:dyDescent="0.2">
      <c r="B184" s="236"/>
      <c r="C184" s="240"/>
      <c r="D184" s="240"/>
      <c r="E184" s="240"/>
      <c r="F184" s="240"/>
      <c r="G184" s="240"/>
      <c r="H184" s="244"/>
      <c r="I184" s="248"/>
      <c r="J184" s="240"/>
      <c r="K184" s="240"/>
      <c r="L184" s="240"/>
      <c r="M184" s="244"/>
      <c r="N184" s="248"/>
      <c r="O184" s="240"/>
      <c r="P184" s="240"/>
      <c r="Q184" s="229"/>
      <c r="R184" s="415"/>
      <c r="S184" s="230"/>
    </row>
    <row r="185" spans="2:19" x14ac:dyDescent="0.2">
      <c r="B185" s="237"/>
      <c r="C185" s="241"/>
      <c r="D185" s="241"/>
      <c r="E185" s="241"/>
      <c r="F185" s="241"/>
      <c r="G185" s="241"/>
      <c r="H185" s="245"/>
      <c r="I185" s="249"/>
      <c r="J185" s="241"/>
      <c r="K185" s="241"/>
      <c r="L185" s="241"/>
      <c r="M185" s="245"/>
      <c r="N185" s="249"/>
      <c r="O185" s="241"/>
      <c r="P185" s="241"/>
      <c r="Q185" s="231"/>
      <c r="R185" s="416"/>
      <c r="S185" s="232"/>
    </row>
    <row r="186" spans="2:19" x14ac:dyDescent="0.2">
      <c r="B186" s="236"/>
      <c r="C186" s="240"/>
      <c r="D186" s="240"/>
      <c r="E186" s="240"/>
      <c r="F186" s="240"/>
      <c r="G186" s="240"/>
      <c r="H186" s="244"/>
      <c r="I186" s="248"/>
      <c r="J186" s="240"/>
      <c r="K186" s="240"/>
      <c r="L186" s="240"/>
      <c r="M186" s="244"/>
      <c r="N186" s="248"/>
      <c r="O186" s="240"/>
      <c r="P186" s="240"/>
      <c r="Q186" s="229"/>
      <c r="R186" s="415"/>
      <c r="S186" s="230"/>
    </row>
    <row r="187" spans="2:19" ht="17" customHeight="1" x14ac:dyDescent="0.2">
      <c r="B187" s="237"/>
      <c r="C187" s="241"/>
      <c r="D187" s="241"/>
      <c r="E187" s="241"/>
      <c r="F187" s="241"/>
      <c r="G187" s="241"/>
      <c r="H187" s="245"/>
      <c r="I187" s="249"/>
      <c r="J187" s="241"/>
      <c r="K187" s="241"/>
      <c r="L187" s="241"/>
      <c r="M187" s="245"/>
      <c r="N187" s="249"/>
      <c r="O187" s="241"/>
      <c r="P187" s="241"/>
      <c r="Q187" s="231"/>
      <c r="R187" s="416"/>
      <c r="S187" s="232"/>
    </row>
    <row r="188" spans="2:19" ht="17" customHeight="1" x14ac:dyDescent="0.2">
      <c r="B188" s="236"/>
      <c r="C188" s="240"/>
      <c r="D188" s="240"/>
      <c r="E188" s="240"/>
      <c r="F188" s="240"/>
      <c r="G188" s="240"/>
      <c r="H188" s="244"/>
      <c r="I188" s="248"/>
      <c r="J188" s="240"/>
      <c r="K188" s="240"/>
      <c r="L188" s="240"/>
      <c r="M188" s="244"/>
      <c r="N188" s="248"/>
      <c r="O188" s="240"/>
      <c r="P188" s="240"/>
      <c r="Q188" s="229"/>
      <c r="R188" s="415"/>
      <c r="S188" s="230"/>
    </row>
    <row r="189" spans="2:19" x14ac:dyDescent="0.2">
      <c r="B189" s="237"/>
      <c r="C189" s="241"/>
      <c r="D189" s="241"/>
      <c r="E189" s="241"/>
      <c r="F189" s="241"/>
      <c r="G189" s="241"/>
      <c r="H189" s="245"/>
      <c r="I189" s="249"/>
      <c r="J189" s="241"/>
      <c r="K189" s="241"/>
      <c r="L189" s="241"/>
      <c r="M189" s="245"/>
      <c r="N189" s="249"/>
      <c r="O189" s="241"/>
      <c r="P189" s="241"/>
      <c r="Q189" s="231"/>
      <c r="R189" s="416"/>
      <c r="S189" s="232"/>
    </row>
    <row r="190" spans="2:19" x14ac:dyDescent="0.2">
      <c r="B190" s="236"/>
      <c r="C190" s="240"/>
      <c r="D190" s="240"/>
      <c r="E190" s="240"/>
      <c r="F190" s="240"/>
      <c r="G190" s="240"/>
      <c r="H190" s="244"/>
      <c r="I190" s="248"/>
      <c r="J190" s="240"/>
      <c r="K190" s="240"/>
      <c r="L190" s="240"/>
      <c r="M190" s="244"/>
      <c r="N190" s="248"/>
      <c r="O190" s="240"/>
      <c r="P190" s="240"/>
      <c r="Q190" s="229"/>
      <c r="R190" s="415"/>
      <c r="S190" s="230"/>
    </row>
    <row r="191" spans="2:19" ht="17" customHeight="1" x14ac:dyDescent="0.2">
      <c r="B191" s="237"/>
      <c r="C191" s="241"/>
      <c r="D191" s="241"/>
      <c r="E191" s="241"/>
      <c r="F191" s="241"/>
      <c r="G191" s="241"/>
      <c r="H191" s="245"/>
      <c r="I191" s="249"/>
      <c r="J191" s="241"/>
      <c r="K191" s="241"/>
      <c r="L191" s="241"/>
      <c r="M191" s="245"/>
      <c r="N191" s="249"/>
      <c r="O191" s="241"/>
      <c r="P191" s="241"/>
      <c r="Q191" s="231"/>
      <c r="R191" s="416"/>
      <c r="S191" s="232"/>
    </row>
    <row r="192" spans="2:19" x14ac:dyDescent="0.2">
      <c r="B192" s="236"/>
      <c r="C192" s="240"/>
      <c r="D192" s="240"/>
      <c r="E192" s="240"/>
      <c r="F192" s="240"/>
      <c r="G192" s="240"/>
      <c r="H192" s="244"/>
      <c r="I192" s="248"/>
      <c r="J192" s="240"/>
      <c r="K192" s="240"/>
      <c r="L192" s="240"/>
      <c r="M192" s="244"/>
      <c r="N192" s="248"/>
      <c r="O192" s="240"/>
      <c r="P192" s="240"/>
      <c r="Q192" s="229"/>
      <c r="R192" s="415"/>
      <c r="S192" s="230"/>
    </row>
    <row r="193" spans="2:19" x14ac:dyDescent="0.2">
      <c r="B193" s="237"/>
      <c r="C193" s="241"/>
      <c r="D193" s="241"/>
      <c r="E193" s="241"/>
      <c r="F193" s="241"/>
      <c r="G193" s="241"/>
      <c r="H193" s="245"/>
      <c r="I193" s="249"/>
      <c r="J193" s="241"/>
      <c r="K193" s="241"/>
      <c r="L193" s="241"/>
      <c r="M193" s="245"/>
      <c r="N193" s="249"/>
      <c r="O193" s="241"/>
      <c r="P193" s="241"/>
      <c r="Q193" s="231"/>
      <c r="R193" s="416"/>
      <c r="S193" s="232"/>
    </row>
    <row r="194" spans="2:19" x14ac:dyDescent="0.2">
      <c r="B194" s="236"/>
      <c r="C194" s="240"/>
      <c r="D194" s="240"/>
      <c r="E194" s="240"/>
      <c r="F194" s="240"/>
      <c r="G194" s="240"/>
      <c r="H194" s="244"/>
      <c r="I194" s="248"/>
      <c r="J194" s="240"/>
      <c r="K194" s="240"/>
      <c r="L194" s="240"/>
      <c r="M194" s="244"/>
      <c r="N194" s="248"/>
      <c r="O194" s="240"/>
      <c r="P194" s="240"/>
      <c r="Q194" s="229"/>
      <c r="R194" s="415"/>
      <c r="S194" s="230"/>
    </row>
    <row r="195" spans="2:19" ht="17" customHeight="1" x14ac:dyDescent="0.2">
      <c r="B195" s="237"/>
      <c r="C195" s="241"/>
      <c r="D195" s="241"/>
      <c r="E195" s="241"/>
      <c r="F195" s="241"/>
      <c r="G195" s="241"/>
      <c r="H195" s="245"/>
      <c r="I195" s="249"/>
      <c r="J195" s="241"/>
      <c r="K195" s="241"/>
      <c r="L195" s="241"/>
      <c r="M195" s="245"/>
      <c r="N195" s="249"/>
      <c r="O195" s="241"/>
      <c r="P195" s="241"/>
      <c r="Q195" s="231"/>
      <c r="R195" s="416"/>
      <c r="S195" s="232"/>
    </row>
    <row r="196" spans="2:19" x14ac:dyDescent="0.2">
      <c r="B196" s="236"/>
      <c r="C196" s="240"/>
      <c r="D196" s="240"/>
      <c r="E196" s="240"/>
      <c r="F196" s="240"/>
      <c r="G196" s="240"/>
      <c r="H196" s="244"/>
      <c r="I196" s="248"/>
      <c r="J196" s="240"/>
      <c r="K196" s="240"/>
      <c r="L196" s="240"/>
      <c r="M196" s="244"/>
      <c r="N196" s="248"/>
      <c r="O196" s="240"/>
      <c r="P196" s="240"/>
      <c r="Q196" s="229"/>
      <c r="R196" s="415"/>
      <c r="S196" s="230"/>
    </row>
    <row r="197" spans="2:19" x14ac:dyDescent="0.2">
      <c r="B197" s="237"/>
      <c r="C197" s="241"/>
      <c r="D197" s="241"/>
      <c r="E197" s="241"/>
      <c r="F197" s="241"/>
      <c r="G197" s="241"/>
      <c r="H197" s="245"/>
      <c r="I197" s="249"/>
      <c r="J197" s="241"/>
      <c r="K197" s="241"/>
      <c r="L197" s="241"/>
      <c r="M197" s="245"/>
      <c r="N197" s="249"/>
      <c r="O197" s="241"/>
      <c r="P197" s="241"/>
      <c r="Q197" s="231"/>
      <c r="R197" s="416"/>
      <c r="S197" s="232"/>
    </row>
    <row r="198" spans="2:19" x14ac:dyDescent="0.2">
      <c r="B198" s="236"/>
      <c r="C198" s="240"/>
      <c r="D198" s="240"/>
      <c r="E198" s="240"/>
      <c r="F198" s="240"/>
      <c r="G198" s="240"/>
      <c r="H198" s="244"/>
      <c r="I198" s="248"/>
      <c r="J198" s="240"/>
      <c r="K198" s="240"/>
      <c r="L198" s="240"/>
      <c r="M198" s="244"/>
      <c r="N198" s="248"/>
      <c r="O198" s="240"/>
      <c r="P198" s="240"/>
      <c r="Q198" s="229"/>
      <c r="R198" s="415"/>
      <c r="S198" s="230"/>
    </row>
    <row r="199" spans="2:19" ht="17" customHeight="1" x14ac:dyDescent="0.2">
      <c r="B199" s="237"/>
      <c r="C199" s="241"/>
      <c r="D199" s="241"/>
      <c r="E199" s="241"/>
      <c r="F199" s="241"/>
      <c r="G199" s="241"/>
      <c r="H199" s="245"/>
      <c r="I199" s="249"/>
      <c r="J199" s="241"/>
      <c r="K199" s="241"/>
      <c r="L199" s="241"/>
      <c r="M199" s="245"/>
      <c r="N199" s="249"/>
      <c r="O199" s="241"/>
      <c r="P199" s="241"/>
      <c r="Q199" s="231"/>
      <c r="R199" s="416"/>
      <c r="S199" s="232"/>
    </row>
    <row r="200" spans="2:19" x14ac:dyDescent="0.2">
      <c r="B200" s="236"/>
      <c r="C200" s="240"/>
      <c r="D200" s="240"/>
      <c r="E200" s="240"/>
      <c r="F200" s="240"/>
      <c r="G200" s="240"/>
      <c r="H200" s="244"/>
      <c r="I200" s="248"/>
      <c r="J200" s="240"/>
      <c r="K200" s="240"/>
      <c r="L200" s="240"/>
      <c r="M200" s="244"/>
      <c r="N200" s="248"/>
      <c r="O200" s="240"/>
      <c r="P200" s="240"/>
      <c r="Q200" s="229"/>
      <c r="R200" s="415"/>
      <c r="S200" s="230"/>
    </row>
    <row r="201" spans="2:19" x14ac:dyDescent="0.2">
      <c r="B201" s="237"/>
      <c r="C201" s="241"/>
      <c r="D201" s="241"/>
      <c r="E201" s="241"/>
      <c r="F201" s="241"/>
      <c r="G201" s="241"/>
      <c r="H201" s="245"/>
      <c r="I201" s="249"/>
      <c r="J201" s="241"/>
      <c r="K201" s="241"/>
      <c r="L201" s="241"/>
      <c r="M201" s="245"/>
      <c r="N201" s="249"/>
      <c r="O201" s="241"/>
      <c r="P201" s="241"/>
      <c r="Q201" s="231"/>
      <c r="R201" s="416"/>
      <c r="S201" s="232"/>
    </row>
    <row r="202" spans="2:19" x14ac:dyDescent="0.2">
      <c r="B202" s="236"/>
      <c r="C202" s="240"/>
      <c r="D202" s="240"/>
      <c r="E202" s="240"/>
      <c r="F202" s="240"/>
      <c r="G202" s="240"/>
      <c r="H202" s="244"/>
      <c r="I202" s="248"/>
      <c r="J202" s="240"/>
      <c r="K202" s="240"/>
      <c r="L202" s="240"/>
      <c r="M202" s="244"/>
      <c r="N202" s="248"/>
      <c r="O202" s="240"/>
      <c r="P202" s="240"/>
      <c r="Q202" s="229"/>
      <c r="R202" s="415"/>
      <c r="S202" s="230"/>
    </row>
    <row r="203" spans="2:19" ht="17" customHeight="1" x14ac:dyDescent="0.2">
      <c r="B203" s="237"/>
      <c r="C203" s="241"/>
      <c r="D203" s="241"/>
      <c r="E203" s="241"/>
      <c r="F203" s="241"/>
      <c r="G203" s="241"/>
      <c r="H203" s="245"/>
      <c r="I203" s="249"/>
      <c r="J203" s="241"/>
      <c r="K203" s="241"/>
      <c r="L203" s="241"/>
      <c r="M203" s="245"/>
      <c r="N203" s="249"/>
      <c r="O203" s="241"/>
      <c r="P203" s="241"/>
      <c r="Q203" s="231"/>
      <c r="R203" s="416"/>
      <c r="S203" s="232"/>
    </row>
    <row r="204" spans="2:19" ht="17" customHeight="1" x14ac:dyDescent="0.2">
      <c r="B204" s="236"/>
      <c r="C204" s="240"/>
      <c r="D204" s="240"/>
      <c r="E204" s="240"/>
      <c r="F204" s="240"/>
      <c r="G204" s="240"/>
      <c r="H204" s="244"/>
      <c r="I204" s="248"/>
      <c r="J204" s="240"/>
      <c r="K204" s="240"/>
      <c r="L204" s="240"/>
      <c r="M204" s="244"/>
      <c r="N204" s="248"/>
      <c r="O204" s="240"/>
      <c r="P204" s="240"/>
      <c r="Q204" s="229"/>
      <c r="R204" s="415"/>
      <c r="S204" s="230"/>
    </row>
    <row r="205" spans="2:19" x14ac:dyDescent="0.2">
      <c r="B205" s="237"/>
      <c r="C205" s="241"/>
      <c r="D205" s="241"/>
      <c r="E205" s="241"/>
      <c r="F205" s="241"/>
      <c r="G205" s="241"/>
      <c r="H205" s="245"/>
      <c r="I205" s="249"/>
      <c r="J205" s="241"/>
      <c r="K205" s="241"/>
      <c r="L205" s="241"/>
      <c r="M205" s="245"/>
      <c r="N205" s="249"/>
      <c r="O205" s="241"/>
      <c r="P205" s="241"/>
      <c r="Q205" s="231"/>
      <c r="R205" s="416"/>
      <c r="S205" s="232"/>
    </row>
    <row r="206" spans="2:19" x14ac:dyDescent="0.2">
      <c r="B206" s="236"/>
      <c r="C206" s="240"/>
      <c r="D206" s="240"/>
      <c r="E206" s="240"/>
      <c r="F206" s="240"/>
      <c r="G206" s="240"/>
      <c r="H206" s="244"/>
      <c r="I206" s="248"/>
      <c r="J206" s="240"/>
      <c r="K206" s="240"/>
      <c r="L206" s="240"/>
      <c r="M206" s="244"/>
      <c r="N206" s="248"/>
      <c r="O206" s="240"/>
      <c r="P206" s="240"/>
      <c r="Q206" s="229"/>
      <c r="R206" s="415"/>
      <c r="S206" s="230"/>
    </row>
    <row r="207" spans="2:19" ht="17" customHeight="1" x14ac:dyDescent="0.2">
      <c r="B207" s="237"/>
      <c r="C207" s="241"/>
      <c r="D207" s="241"/>
      <c r="E207" s="241"/>
      <c r="F207" s="241"/>
      <c r="G207" s="241"/>
      <c r="H207" s="245"/>
      <c r="I207" s="249"/>
      <c r="J207" s="241"/>
      <c r="K207" s="241"/>
      <c r="L207" s="241"/>
      <c r="M207" s="245"/>
      <c r="N207" s="249"/>
      <c r="O207" s="241"/>
      <c r="P207" s="241"/>
      <c r="Q207" s="231"/>
      <c r="R207" s="416"/>
      <c r="S207" s="232"/>
    </row>
    <row r="208" spans="2:19" x14ac:dyDescent="0.2">
      <c r="B208" s="236"/>
      <c r="C208" s="240"/>
      <c r="D208" s="240"/>
      <c r="E208" s="240"/>
      <c r="F208" s="240"/>
      <c r="G208" s="240"/>
      <c r="H208" s="244"/>
      <c r="I208" s="248"/>
      <c r="J208" s="240"/>
      <c r="K208" s="240"/>
      <c r="L208" s="240"/>
      <c r="M208" s="244"/>
      <c r="N208" s="248"/>
      <c r="O208" s="240"/>
      <c r="P208" s="240"/>
      <c r="Q208" s="229"/>
      <c r="R208" s="415"/>
      <c r="S208" s="230"/>
    </row>
    <row r="209" spans="2:19" x14ac:dyDescent="0.2">
      <c r="B209" s="237"/>
      <c r="C209" s="241"/>
      <c r="D209" s="241"/>
      <c r="E209" s="241"/>
      <c r="F209" s="241"/>
      <c r="G209" s="241"/>
      <c r="H209" s="245"/>
      <c r="I209" s="249"/>
      <c r="J209" s="241"/>
      <c r="K209" s="241"/>
      <c r="L209" s="241"/>
      <c r="M209" s="245"/>
      <c r="N209" s="249"/>
      <c r="O209" s="241"/>
      <c r="P209" s="241"/>
      <c r="Q209" s="231"/>
      <c r="R209" s="416"/>
      <c r="S209" s="232"/>
    </row>
    <row r="210" spans="2:19" x14ac:dyDescent="0.2">
      <c r="B210" s="236"/>
      <c r="C210" s="240"/>
      <c r="D210" s="240"/>
      <c r="E210" s="240"/>
      <c r="F210" s="240"/>
      <c r="G210" s="240"/>
      <c r="H210" s="244"/>
      <c r="I210" s="248"/>
      <c r="J210" s="240"/>
      <c r="K210" s="240"/>
      <c r="L210" s="240"/>
      <c r="M210" s="244"/>
      <c r="N210" s="248"/>
      <c r="O210" s="240"/>
      <c r="P210" s="240"/>
      <c r="Q210" s="229"/>
      <c r="R210" s="415"/>
      <c r="S210" s="230"/>
    </row>
    <row r="211" spans="2:19" ht="17" customHeight="1" x14ac:dyDescent="0.2">
      <c r="B211" s="237"/>
      <c r="C211" s="241"/>
      <c r="D211" s="241"/>
      <c r="E211" s="241"/>
      <c r="F211" s="241"/>
      <c r="G211" s="241"/>
      <c r="H211" s="245"/>
      <c r="I211" s="249"/>
      <c r="J211" s="241"/>
      <c r="K211" s="241"/>
      <c r="L211" s="241"/>
      <c r="M211" s="245"/>
      <c r="N211" s="249"/>
      <c r="O211" s="241"/>
      <c r="P211" s="241"/>
      <c r="Q211" s="231"/>
      <c r="R211" s="416"/>
      <c r="S211" s="232"/>
    </row>
    <row r="212" spans="2:19" x14ac:dyDescent="0.2">
      <c r="B212" s="236"/>
      <c r="C212" s="240"/>
      <c r="D212" s="240"/>
      <c r="E212" s="240"/>
      <c r="F212" s="240"/>
      <c r="G212" s="240"/>
      <c r="H212" s="244"/>
      <c r="I212" s="248"/>
      <c r="J212" s="240"/>
      <c r="K212" s="240"/>
      <c r="L212" s="240"/>
      <c r="M212" s="244"/>
      <c r="N212" s="248"/>
      <c r="O212" s="240"/>
      <c r="P212" s="240"/>
      <c r="Q212" s="229"/>
      <c r="R212" s="415"/>
      <c r="S212" s="230"/>
    </row>
    <row r="213" spans="2:19" x14ac:dyDescent="0.2">
      <c r="B213" s="237"/>
      <c r="C213" s="241"/>
      <c r="D213" s="241"/>
      <c r="E213" s="241"/>
      <c r="F213" s="241"/>
      <c r="G213" s="241"/>
      <c r="H213" s="245"/>
      <c r="I213" s="249"/>
      <c r="J213" s="241"/>
      <c r="K213" s="241"/>
      <c r="L213" s="241"/>
      <c r="M213" s="245"/>
      <c r="N213" s="249"/>
      <c r="O213" s="241"/>
      <c r="P213" s="241"/>
      <c r="Q213" s="231"/>
      <c r="R213" s="416"/>
      <c r="S213" s="232"/>
    </row>
    <row r="214" spans="2:19" x14ac:dyDescent="0.2">
      <c r="B214" s="236"/>
      <c r="C214" s="240"/>
      <c r="D214" s="240"/>
      <c r="E214" s="240"/>
      <c r="F214" s="240"/>
      <c r="G214" s="240"/>
      <c r="H214" s="244"/>
      <c r="I214" s="248"/>
      <c r="J214" s="240"/>
      <c r="K214" s="240"/>
      <c r="L214" s="240"/>
      <c r="M214" s="244"/>
      <c r="N214" s="248"/>
      <c r="O214" s="240"/>
      <c r="P214" s="240"/>
      <c r="Q214" s="229"/>
      <c r="R214" s="415"/>
      <c r="S214" s="230"/>
    </row>
    <row r="215" spans="2:19" ht="17" customHeight="1" x14ac:dyDescent="0.2">
      <c r="B215" s="237"/>
      <c r="C215" s="241"/>
      <c r="D215" s="241"/>
      <c r="E215" s="241"/>
      <c r="F215" s="241"/>
      <c r="G215" s="241"/>
      <c r="H215" s="245"/>
      <c r="I215" s="249"/>
      <c r="J215" s="241"/>
      <c r="K215" s="241"/>
      <c r="L215" s="241"/>
      <c r="M215" s="245"/>
      <c r="N215" s="249"/>
      <c r="O215" s="241"/>
      <c r="P215" s="241"/>
      <c r="Q215" s="231"/>
      <c r="R215" s="416"/>
      <c r="S215" s="232"/>
    </row>
    <row r="216" spans="2:19" x14ac:dyDescent="0.2">
      <c r="B216" s="236"/>
      <c r="C216" s="240"/>
      <c r="D216" s="240"/>
      <c r="E216" s="240"/>
      <c r="F216" s="240"/>
      <c r="G216" s="240"/>
      <c r="H216" s="244"/>
      <c r="I216" s="248"/>
      <c r="J216" s="240"/>
      <c r="K216" s="240"/>
      <c r="L216" s="240"/>
      <c r="M216" s="244"/>
      <c r="N216" s="248"/>
      <c r="O216" s="240"/>
      <c r="P216" s="240"/>
      <c r="Q216" s="229"/>
      <c r="R216" s="415"/>
      <c r="S216" s="230"/>
    </row>
    <row r="217" spans="2:19" x14ac:dyDescent="0.2">
      <c r="B217" s="237"/>
      <c r="C217" s="241"/>
      <c r="D217" s="241"/>
      <c r="E217" s="241"/>
      <c r="F217" s="241"/>
      <c r="G217" s="241"/>
      <c r="H217" s="245"/>
      <c r="I217" s="249"/>
      <c r="J217" s="241"/>
      <c r="K217" s="241"/>
      <c r="L217" s="241"/>
      <c r="M217" s="245"/>
      <c r="N217" s="249"/>
      <c r="O217" s="241"/>
      <c r="P217" s="241"/>
      <c r="Q217" s="231"/>
      <c r="R217" s="416"/>
      <c r="S217" s="232"/>
    </row>
    <row r="218" spans="2:19" x14ac:dyDescent="0.2">
      <c r="B218" s="236"/>
      <c r="C218" s="240"/>
      <c r="D218" s="240"/>
      <c r="E218" s="240"/>
      <c r="F218" s="240"/>
      <c r="G218" s="240"/>
      <c r="H218" s="244"/>
      <c r="I218" s="248"/>
      <c r="J218" s="240"/>
      <c r="K218" s="240"/>
      <c r="L218" s="240"/>
      <c r="M218" s="244"/>
      <c r="N218" s="248"/>
      <c r="O218" s="240"/>
      <c r="P218" s="240"/>
      <c r="Q218" s="229"/>
      <c r="R218" s="415"/>
      <c r="S218" s="230"/>
    </row>
    <row r="219" spans="2:19" ht="17" customHeight="1" x14ac:dyDescent="0.2">
      <c r="B219" s="237"/>
      <c r="C219" s="241"/>
      <c r="D219" s="241"/>
      <c r="E219" s="241"/>
      <c r="F219" s="241"/>
      <c r="G219" s="241"/>
      <c r="H219" s="245"/>
      <c r="I219" s="249"/>
      <c r="J219" s="241"/>
      <c r="K219" s="241"/>
      <c r="L219" s="241"/>
      <c r="M219" s="245"/>
      <c r="N219" s="249"/>
      <c r="O219" s="241"/>
      <c r="P219" s="241"/>
      <c r="Q219" s="231"/>
      <c r="R219" s="416"/>
      <c r="S219" s="232"/>
    </row>
    <row r="220" spans="2:19" ht="17" customHeight="1" x14ac:dyDescent="0.2">
      <c r="B220" s="236"/>
      <c r="C220" s="240"/>
      <c r="D220" s="240"/>
      <c r="E220" s="240"/>
      <c r="F220" s="240"/>
      <c r="G220" s="240"/>
      <c r="H220" s="244"/>
      <c r="I220" s="248"/>
      <c r="J220" s="240"/>
      <c r="K220" s="240"/>
      <c r="L220" s="240"/>
      <c r="M220" s="244"/>
      <c r="N220" s="248"/>
      <c r="O220" s="240"/>
      <c r="P220" s="240"/>
      <c r="Q220" s="229"/>
      <c r="R220" s="415"/>
      <c r="S220" s="230"/>
    </row>
    <row r="221" spans="2:19" x14ac:dyDescent="0.2">
      <c r="B221" s="237"/>
      <c r="C221" s="241"/>
      <c r="D221" s="241"/>
      <c r="E221" s="241"/>
      <c r="F221" s="241"/>
      <c r="G221" s="241"/>
      <c r="H221" s="245"/>
      <c r="I221" s="249"/>
      <c r="J221" s="241"/>
      <c r="K221" s="241"/>
      <c r="L221" s="241"/>
      <c r="M221" s="245"/>
      <c r="N221" s="249"/>
      <c r="O221" s="241"/>
      <c r="P221" s="241"/>
      <c r="Q221" s="231"/>
      <c r="R221" s="416"/>
      <c r="S221" s="232"/>
    </row>
    <row r="222" spans="2:19" x14ac:dyDescent="0.2">
      <c r="B222" s="236"/>
      <c r="C222" s="240"/>
      <c r="D222" s="240"/>
      <c r="E222" s="240"/>
      <c r="F222" s="240"/>
      <c r="G222" s="240"/>
      <c r="H222" s="244"/>
      <c r="I222" s="248"/>
      <c r="J222" s="240"/>
      <c r="K222" s="240"/>
      <c r="L222" s="240"/>
      <c r="M222" s="244"/>
      <c r="N222" s="248"/>
      <c r="O222" s="240"/>
      <c r="P222" s="240"/>
      <c r="Q222" s="229"/>
      <c r="R222" s="415"/>
      <c r="S222" s="230"/>
    </row>
    <row r="223" spans="2:19" ht="17" customHeight="1" x14ac:dyDescent="0.2">
      <c r="B223" s="237"/>
      <c r="C223" s="241"/>
      <c r="D223" s="241"/>
      <c r="E223" s="241"/>
      <c r="F223" s="241"/>
      <c r="G223" s="241"/>
      <c r="H223" s="245"/>
      <c r="I223" s="249"/>
      <c r="J223" s="241"/>
      <c r="K223" s="241"/>
      <c r="L223" s="241"/>
      <c r="M223" s="245"/>
      <c r="N223" s="249"/>
      <c r="O223" s="241"/>
      <c r="P223" s="241"/>
      <c r="Q223" s="231"/>
      <c r="R223" s="416"/>
      <c r="S223" s="232"/>
    </row>
    <row r="224" spans="2:19" x14ac:dyDescent="0.2">
      <c r="B224" s="236"/>
      <c r="C224" s="240"/>
      <c r="D224" s="240"/>
      <c r="E224" s="240"/>
      <c r="F224" s="240"/>
      <c r="G224" s="240"/>
      <c r="H224" s="244"/>
      <c r="I224" s="248"/>
      <c r="J224" s="240"/>
      <c r="K224" s="240"/>
      <c r="L224" s="240"/>
      <c r="M224" s="244"/>
      <c r="N224" s="248"/>
      <c r="O224" s="240"/>
      <c r="P224" s="240"/>
      <c r="Q224" s="229"/>
      <c r="R224" s="415"/>
      <c r="S224" s="230"/>
    </row>
    <row r="225" spans="2:19" x14ac:dyDescent="0.2">
      <c r="B225" s="237"/>
      <c r="C225" s="241"/>
      <c r="D225" s="241"/>
      <c r="E225" s="241"/>
      <c r="F225" s="241"/>
      <c r="G225" s="241"/>
      <c r="H225" s="245"/>
      <c r="I225" s="249"/>
      <c r="J225" s="241"/>
      <c r="K225" s="241"/>
      <c r="L225" s="241"/>
      <c r="M225" s="245"/>
      <c r="N225" s="249"/>
      <c r="O225" s="241"/>
      <c r="P225" s="241"/>
      <c r="Q225" s="231"/>
      <c r="R225" s="416"/>
      <c r="S225" s="232"/>
    </row>
    <row r="226" spans="2:19" x14ac:dyDescent="0.2">
      <c r="B226" s="236"/>
      <c r="C226" s="240"/>
      <c r="D226" s="240"/>
      <c r="E226" s="240"/>
      <c r="F226" s="240"/>
      <c r="G226" s="240"/>
      <c r="H226" s="244"/>
      <c r="I226" s="248"/>
      <c r="J226" s="240"/>
      <c r="K226" s="240"/>
      <c r="L226" s="240"/>
      <c r="M226" s="244"/>
      <c r="N226" s="248"/>
      <c r="O226" s="240"/>
      <c r="P226" s="240"/>
      <c r="Q226" s="229"/>
      <c r="R226" s="415"/>
      <c r="S226" s="230"/>
    </row>
    <row r="227" spans="2:19" ht="17" customHeight="1" x14ac:dyDescent="0.2">
      <c r="B227" s="237"/>
      <c r="C227" s="241"/>
      <c r="D227" s="241"/>
      <c r="E227" s="241"/>
      <c r="F227" s="241"/>
      <c r="G227" s="241"/>
      <c r="H227" s="245"/>
      <c r="I227" s="249"/>
      <c r="J227" s="241"/>
      <c r="K227" s="241"/>
      <c r="L227" s="241"/>
      <c r="M227" s="245"/>
      <c r="N227" s="249"/>
      <c r="O227" s="241"/>
      <c r="P227" s="241"/>
      <c r="Q227" s="231"/>
      <c r="R227" s="416"/>
      <c r="S227" s="232"/>
    </row>
    <row r="228" spans="2:19" x14ac:dyDescent="0.2">
      <c r="B228" s="236"/>
      <c r="C228" s="240"/>
      <c r="D228" s="240"/>
      <c r="E228" s="240"/>
      <c r="F228" s="240"/>
      <c r="G228" s="240"/>
      <c r="H228" s="244"/>
      <c r="I228" s="248"/>
      <c r="J228" s="240"/>
      <c r="K228" s="240"/>
      <c r="L228" s="240"/>
      <c r="M228" s="244"/>
      <c r="N228" s="248"/>
      <c r="O228" s="240"/>
      <c r="P228" s="240"/>
      <c r="Q228" s="229"/>
      <c r="R228" s="415"/>
      <c r="S228" s="230"/>
    </row>
    <row r="229" spans="2:19" x14ac:dyDescent="0.2">
      <c r="B229" s="237"/>
      <c r="C229" s="241"/>
      <c r="D229" s="241"/>
      <c r="E229" s="241"/>
      <c r="F229" s="241"/>
      <c r="G229" s="241"/>
      <c r="H229" s="245"/>
      <c r="I229" s="249"/>
      <c r="J229" s="241"/>
      <c r="K229" s="241"/>
      <c r="L229" s="241"/>
      <c r="M229" s="245"/>
      <c r="N229" s="249"/>
      <c r="O229" s="241"/>
      <c r="P229" s="241"/>
      <c r="Q229" s="231"/>
      <c r="R229" s="416"/>
      <c r="S229" s="232"/>
    </row>
    <row r="230" spans="2:19" x14ac:dyDescent="0.2">
      <c r="B230" s="236"/>
      <c r="C230" s="240"/>
      <c r="D230" s="240"/>
      <c r="E230" s="240"/>
      <c r="F230" s="240"/>
      <c r="G230" s="240"/>
      <c r="H230" s="244"/>
      <c r="I230" s="248"/>
      <c r="J230" s="240"/>
      <c r="K230" s="240"/>
      <c r="L230" s="240"/>
      <c r="M230" s="244"/>
      <c r="N230" s="248"/>
      <c r="O230" s="240"/>
      <c r="P230" s="240"/>
      <c r="Q230" s="229"/>
      <c r="R230" s="415"/>
      <c r="S230" s="230"/>
    </row>
    <row r="231" spans="2:19" ht="17" customHeight="1" x14ac:dyDescent="0.2">
      <c r="B231" s="237"/>
      <c r="C231" s="241"/>
      <c r="D231" s="241"/>
      <c r="E231" s="241"/>
      <c r="F231" s="241"/>
      <c r="G231" s="241"/>
      <c r="H231" s="245"/>
      <c r="I231" s="249"/>
      <c r="J231" s="241"/>
      <c r="K231" s="241"/>
      <c r="L231" s="241"/>
      <c r="M231" s="245"/>
      <c r="N231" s="249"/>
      <c r="O231" s="241"/>
      <c r="P231" s="241"/>
      <c r="Q231" s="231"/>
      <c r="R231" s="416"/>
      <c r="S231" s="232"/>
    </row>
    <row r="232" spans="2:19" x14ac:dyDescent="0.2">
      <c r="B232" s="236"/>
      <c r="C232" s="240"/>
      <c r="D232" s="240"/>
      <c r="E232" s="240"/>
      <c r="F232" s="240"/>
      <c r="G232" s="240"/>
      <c r="H232" s="244"/>
      <c r="I232" s="248"/>
      <c r="J232" s="240"/>
      <c r="K232" s="240"/>
      <c r="L232" s="240"/>
      <c r="M232" s="244"/>
      <c r="N232" s="248"/>
      <c r="O232" s="240"/>
      <c r="P232" s="240"/>
      <c r="Q232" s="229"/>
      <c r="R232" s="415"/>
      <c r="S232" s="230"/>
    </row>
    <row r="233" spans="2:19" x14ac:dyDescent="0.2">
      <c r="B233" s="237"/>
      <c r="C233" s="241"/>
      <c r="D233" s="241"/>
      <c r="E233" s="241"/>
      <c r="F233" s="241"/>
      <c r="G233" s="241"/>
      <c r="H233" s="245"/>
      <c r="I233" s="249"/>
      <c r="J233" s="241"/>
      <c r="K233" s="241"/>
      <c r="L233" s="241"/>
      <c r="M233" s="245"/>
      <c r="N233" s="249"/>
      <c r="O233" s="241"/>
      <c r="P233" s="241"/>
      <c r="Q233" s="231"/>
      <c r="R233" s="416"/>
      <c r="S233" s="232"/>
    </row>
    <row r="234" spans="2:19" x14ac:dyDescent="0.2">
      <c r="B234" s="236"/>
      <c r="C234" s="240"/>
      <c r="D234" s="240"/>
      <c r="E234" s="240"/>
      <c r="F234" s="240"/>
      <c r="G234" s="240"/>
      <c r="H234" s="244"/>
      <c r="I234" s="248"/>
      <c r="J234" s="240"/>
      <c r="K234" s="240"/>
      <c r="L234" s="240"/>
      <c r="M234" s="244"/>
      <c r="N234" s="248"/>
      <c r="O234" s="240"/>
      <c r="P234" s="240"/>
      <c r="Q234" s="229"/>
      <c r="R234" s="415"/>
      <c r="S234" s="230"/>
    </row>
    <row r="235" spans="2:19" ht="17" customHeight="1" x14ac:dyDescent="0.2">
      <c r="B235" s="237"/>
      <c r="C235" s="241"/>
      <c r="D235" s="241"/>
      <c r="E235" s="241"/>
      <c r="F235" s="241"/>
      <c r="G235" s="241"/>
      <c r="H235" s="245"/>
      <c r="I235" s="249"/>
      <c r="J235" s="241"/>
      <c r="K235" s="241"/>
      <c r="L235" s="241"/>
      <c r="M235" s="245"/>
      <c r="N235" s="249"/>
      <c r="O235" s="241"/>
      <c r="P235" s="241"/>
      <c r="Q235" s="231"/>
      <c r="R235" s="416"/>
      <c r="S235" s="232"/>
    </row>
    <row r="236" spans="2:19" ht="17" customHeight="1" x14ac:dyDescent="0.2">
      <c r="B236" s="236"/>
      <c r="C236" s="240"/>
      <c r="D236" s="240"/>
      <c r="E236" s="240"/>
      <c r="F236" s="240"/>
      <c r="G236" s="240"/>
      <c r="H236" s="244"/>
      <c r="I236" s="248"/>
      <c r="J236" s="240"/>
      <c r="K236" s="240"/>
      <c r="L236" s="240"/>
      <c r="M236" s="244"/>
      <c r="N236" s="248"/>
      <c r="O236" s="240"/>
      <c r="P236" s="240"/>
      <c r="Q236" s="229"/>
      <c r="R236" s="415"/>
      <c r="S236" s="230"/>
    </row>
    <row r="237" spans="2:19" x14ac:dyDescent="0.2">
      <c r="B237" s="237"/>
      <c r="C237" s="241"/>
      <c r="D237" s="241"/>
      <c r="E237" s="241"/>
      <c r="F237" s="241"/>
      <c r="G237" s="241"/>
      <c r="H237" s="245"/>
      <c r="I237" s="249"/>
      <c r="J237" s="241"/>
      <c r="K237" s="241"/>
      <c r="L237" s="241"/>
      <c r="M237" s="245"/>
      <c r="N237" s="249"/>
      <c r="O237" s="241"/>
      <c r="P237" s="241"/>
      <c r="Q237" s="231"/>
      <c r="R237" s="416"/>
      <c r="S237" s="232"/>
    </row>
    <row r="238" spans="2:19" x14ac:dyDescent="0.2">
      <c r="B238" s="236"/>
      <c r="C238" s="240"/>
      <c r="D238" s="240"/>
      <c r="E238" s="240"/>
      <c r="F238" s="240"/>
      <c r="G238" s="240"/>
      <c r="H238" s="244"/>
      <c r="I238" s="248"/>
      <c r="J238" s="240"/>
      <c r="K238" s="240"/>
      <c r="L238" s="240"/>
      <c r="M238" s="244"/>
      <c r="N238" s="248"/>
      <c r="O238" s="240"/>
      <c r="P238" s="240"/>
      <c r="Q238" s="229"/>
      <c r="R238" s="415"/>
      <c r="S238" s="230"/>
    </row>
    <row r="239" spans="2:19" ht="17" customHeight="1" x14ac:dyDescent="0.2">
      <c r="B239" s="237"/>
      <c r="C239" s="241"/>
      <c r="D239" s="241"/>
      <c r="E239" s="241"/>
      <c r="F239" s="241"/>
      <c r="G239" s="241"/>
      <c r="H239" s="245"/>
      <c r="I239" s="249"/>
      <c r="J239" s="241"/>
      <c r="K239" s="241"/>
      <c r="L239" s="241"/>
      <c r="M239" s="245"/>
      <c r="N239" s="249"/>
      <c r="O239" s="241"/>
      <c r="P239" s="241"/>
      <c r="Q239" s="231"/>
      <c r="R239" s="416"/>
      <c r="S239" s="232"/>
    </row>
    <row r="240" spans="2:19" x14ac:dyDescent="0.2">
      <c r="B240" s="236"/>
      <c r="C240" s="240"/>
      <c r="D240" s="240"/>
      <c r="E240" s="240"/>
      <c r="F240" s="240"/>
      <c r="G240" s="240"/>
      <c r="H240" s="244"/>
      <c r="I240" s="248"/>
      <c r="J240" s="240"/>
      <c r="K240" s="240"/>
      <c r="L240" s="240"/>
      <c r="M240" s="244"/>
      <c r="N240" s="248"/>
      <c r="O240" s="240"/>
      <c r="P240" s="240"/>
      <c r="Q240" s="229"/>
      <c r="R240" s="415"/>
      <c r="S240" s="230"/>
    </row>
    <row r="241" spans="2:19" x14ac:dyDescent="0.2">
      <c r="B241" s="237"/>
      <c r="C241" s="241"/>
      <c r="D241" s="241"/>
      <c r="E241" s="241"/>
      <c r="F241" s="241"/>
      <c r="G241" s="241"/>
      <c r="H241" s="245"/>
      <c r="I241" s="249"/>
      <c r="J241" s="241"/>
      <c r="K241" s="241"/>
      <c r="L241" s="241"/>
      <c r="M241" s="245"/>
      <c r="N241" s="249"/>
      <c r="O241" s="241"/>
      <c r="P241" s="241"/>
      <c r="Q241" s="231"/>
      <c r="R241" s="416"/>
      <c r="S241" s="232"/>
    </row>
    <row r="242" spans="2:19" x14ac:dyDescent="0.2">
      <c r="B242" s="236"/>
      <c r="C242" s="240"/>
      <c r="D242" s="240"/>
      <c r="E242" s="240"/>
      <c r="F242" s="240"/>
      <c r="G242" s="240"/>
      <c r="H242" s="244"/>
      <c r="I242" s="248"/>
      <c r="J242" s="240"/>
      <c r="K242" s="240"/>
      <c r="L242" s="240"/>
      <c r="M242" s="244"/>
      <c r="N242" s="248"/>
      <c r="O242" s="240"/>
      <c r="P242" s="240"/>
      <c r="Q242" s="229"/>
      <c r="R242" s="415"/>
      <c r="S242" s="230"/>
    </row>
    <row r="243" spans="2:19" ht="17" customHeight="1" x14ac:dyDescent="0.2">
      <c r="B243" s="237"/>
      <c r="C243" s="241"/>
      <c r="D243" s="241"/>
      <c r="E243" s="241"/>
      <c r="F243" s="241"/>
      <c r="G243" s="241"/>
      <c r="H243" s="245"/>
      <c r="I243" s="249"/>
      <c r="J243" s="241"/>
      <c r="K243" s="241"/>
      <c r="L243" s="241"/>
      <c r="M243" s="245"/>
      <c r="N243" s="249"/>
      <c r="O243" s="241"/>
      <c r="P243" s="241"/>
      <c r="Q243" s="231"/>
      <c r="R243" s="416"/>
      <c r="S243" s="232"/>
    </row>
    <row r="244" spans="2:19" x14ac:dyDescent="0.2">
      <c r="B244" s="236"/>
      <c r="C244" s="240"/>
      <c r="D244" s="240"/>
      <c r="E244" s="240"/>
      <c r="F244" s="240"/>
      <c r="G244" s="240"/>
      <c r="H244" s="244"/>
      <c r="I244" s="248"/>
      <c r="J244" s="240"/>
      <c r="K244" s="240"/>
      <c r="L244" s="240"/>
      <c r="M244" s="244"/>
      <c r="N244" s="248"/>
      <c r="O244" s="240"/>
      <c r="P244" s="240"/>
      <c r="Q244" s="229"/>
      <c r="R244" s="415"/>
      <c r="S244" s="230"/>
    </row>
    <row r="245" spans="2:19" x14ac:dyDescent="0.2">
      <c r="B245" s="237"/>
      <c r="C245" s="241"/>
      <c r="D245" s="241"/>
      <c r="E245" s="241"/>
      <c r="F245" s="241"/>
      <c r="G245" s="241"/>
      <c r="H245" s="245"/>
      <c r="I245" s="249"/>
      <c r="J245" s="241"/>
      <c r="K245" s="241"/>
      <c r="L245" s="241"/>
      <c r="M245" s="245"/>
      <c r="N245" s="249"/>
      <c r="O245" s="241"/>
      <c r="P245" s="241"/>
      <c r="Q245" s="231"/>
      <c r="R245" s="416"/>
      <c r="S245" s="232"/>
    </row>
    <row r="246" spans="2:19" x14ac:dyDescent="0.2">
      <c r="B246" s="236"/>
      <c r="C246" s="240"/>
      <c r="D246" s="240"/>
      <c r="E246" s="240"/>
      <c r="F246" s="240"/>
      <c r="G246" s="240"/>
      <c r="H246" s="244"/>
      <c r="I246" s="248"/>
      <c r="J246" s="240"/>
      <c r="K246" s="240"/>
      <c r="L246" s="240"/>
      <c r="M246" s="244"/>
      <c r="N246" s="248"/>
      <c r="O246" s="240"/>
      <c r="P246" s="240"/>
      <c r="Q246" s="229"/>
      <c r="R246" s="415"/>
      <c r="S246" s="230"/>
    </row>
    <row r="247" spans="2:19" ht="17" customHeight="1" x14ac:dyDescent="0.2">
      <c r="B247" s="237"/>
      <c r="C247" s="241"/>
      <c r="D247" s="241"/>
      <c r="E247" s="241"/>
      <c r="F247" s="241"/>
      <c r="G247" s="241"/>
      <c r="H247" s="245"/>
      <c r="I247" s="249"/>
      <c r="J247" s="241"/>
      <c r="K247" s="241"/>
      <c r="L247" s="241"/>
      <c r="M247" s="245"/>
      <c r="N247" s="249"/>
      <c r="O247" s="241"/>
      <c r="P247" s="241"/>
      <c r="Q247" s="231"/>
      <c r="R247" s="416"/>
      <c r="S247" s="232"/>
    </row>
    <row r="248" spans="2:19" x14ac:dyDescent="0.2">
      <c r="B248" s="236"/>
      <c r="C248" s="240"/>
      <c r="D248" s="240"/>
      <c r="E248" s="240"/>
      <c r="F248" s="240"/>
      <c r="G248" s="240"/>
      <c r="H248" s="244"/>
      <c r="I248" s="248"/>
      <c r="J248" s="240"/>
      <c r="K248" s="240"/>
      <c r="L248" s="240"/>
      <c r="M248" s="244"/>
      <c r="N248" s="248"/>
      <c r="O248" s="240"/>
      <c r="P248" s="240"/>
      <c r="Q248" s="229"/>
      <c r="R248" s="415"/>
      <c r="S248" s="230"/>
    </row>
    <row r="249" spans="2:19" x14ac:dyDescent="0.2">
      <c r="B249" s="237"/>
      <c r="C249" s="241"/>
      <c r="D249" s="241"/>
      <c r="E249" s="241"/>
      <c r="F249" s="241"/>
      <c r="G249" s="241"/>
      <c r="H249" s="245"/>
      <c r="I249" s="249"/>
      <c r="J249" s="241"/>
      <c r="K249" s="241"/>
      <c r="L249" s="241"/>
      <c r="M249" s="245"/>
      <c r="N249" s="249"/>
      <c r="O249" s="241"/>
      <c r="P249" s="241"/>
      <c r="Q249" s="231"/>
      <c r="R249" s="416"/>
      <c r="S249" s="232"/>
    </row>
    <row r="250" spans="2:19" x14ac:dyDescent="0.2">
      <c r="B250" s="236"/>
      <c r="C250" s="240"/>
      <c r="D250" s="240"/>
      <c r="E250" s="240"/>
      <c r="F250" s="240"/>
      <c r="G250" s="240"/>
      <c r="H250" s="244"/>
      <c r="I250" s="248"/>
      <c r="J250" s="240"/>
      <c r="K250" s="240"/>
      <c r="L250" s="240"/>
      <c r="M250" s="244"/>
      <c r="N250" s="248"/>
      <c r="O250" s="240"/>
      <c r="P250" s="240"/>
      <c r="Q250" s="229"/>
      <c r="R250" s="415"/>
      <c r="S250" s="230"/>
    </row>
    <row r="251" spans="2:19" ht="17" customHeight="1" x14ac:dyDescent="0.2">
      <c r="B251" s="237"/>
      <c r="C251" s="241"/>
      <c r="D251" s="241"/>
      <c r="E251" s="241"/>
      <c r="F251" s="241"/>
      <c r="G251" s="241"/>
      <c r="H251" s="245"/>
      <c r="I251" s="249"/>
      <c r="J251" s="241"/>
      <c r="K251" s="241"/>
      <c r="L251" s="241"/>
      <c r="M251" s="245"/>
      <c r="N251" s="249"/>
      <c r="O251" s="241"/>
      <c r="P251" s="241"/>
      <c r="Q251" s="231"/>
      <c r="R251" s="416"/>
      <c r="S251" s="232"/>
    </row>
    <row r="252" spans="2:19" ht="17" customHeight="1" x14ac:dyDescent="0.2">
      <c r="B252" s="236"/>
      <c r="C252" s="240"/>
      <c r="D252" s="240"/>
      <c r="E252" s="240"/>
      <c r="F252" s="240"/>
      <c r="G252" s="240"/>
      <c r="H252" s="244"/>
      <c r="I252" s="248"/>
      <c r="J252" s="240"/>
      <c r="K252" s="240"/>
      <c r="L252" s="240"/>
      <c r="M252" s="244"/>
      <c r="N252" s="248"/>
      <c r="O252" s="240"/>
      <c r="P252" s="240"/>
      <c r="Q252" s="229"/>
      <c r="R252" s="415"/>
      <c r="S252" s="230"/>
    </row>
    <row r="253" spans="2:19" x14ac:dyDescent="0.2">
      <c r="B253" s="237"/>
      <c r="C253" s="241"/>
      <c r="D253" s="241"/>
      <c r="E253" s="241"/>
      <c r="F253" s="241"/>
      <c r="G253" s="241"/>
      <c r="H253" s="245"/>
      <c r="I253" s="249"/>
      <c r="J253" s="241"/>
      <c r="K253" s="241"/>
      <c r="L253" s="241"/>
      <c r="M253" s="245"/>
      <c r="N253" s="249"/>
      <c r="O253" s="241"/>
      <c r="P253" s="241"/>
      <c r="Q253" s="231"/>
      <c r="R253" s="416"/>
      <c r="S253" s="232"/>
    </row>
    <row r="254" spans="2:19" x14ac:dyDescent="0.2">
      <c r="B254" s="236"/>
      <c r="C254" s="240"/>
      <c r="D254" s="240"/>
      <c r="E254" s="240"/>
      <c r="F254" s="240"/>
      <c r="G254" s="240"/>
      <c r="H254" s="244"/>
      <c r="I254" s="248"/>
      <c r="J254" s="240"/>
      <c r="K254" s="240"/>
      <c r="L254" s="240"/>
      <c r="M254" s="244"/>
      <c r="N254" s="248"/>
      <c r="O254" s="240"/>
      <c r="P254" s="240"/>
      <c r="Q254" s="229"/>
      <c r="R254" s="415"/>
      <c r="S254" s="230"/>
    </row>
    <row r="255" spans="2:19" ht="17" customHeight="1" x14ac:dyDescent="0.2">
      <c r="B255" s="237"/>
      <c r="C255" s="241"/>
      <c r="D255" s="241"/>
      <c r="E255" s="241"/>
      <c r="F255" s="241"/>
      <c r="G255" s="241"/>
      <c r="H255" s="245"/>
      <c r="I255" s="249"/>
      <c r="J255" s="241"/>
      <c r="K255" s="241"/>
      <c r="L255" s="241"/>
      <c r="M255" s="245"/>
      <c r="N255" s="249"/>
      <c r="O255" s="241"/>
      <c r="P255" s="241"/>
      <c r="Q255" s="231"/>
      <c r="R255" s="416"/>
      <c r="S255" s="232"/>
    </row>
    <row r="256" spans="2:19" x14ac:dyDescent="0.2">
      <c r="B256" s="236"/>
      <c r="C256" s="240"/>
      <c r="D256" s="240"/>
      <c r="E256" s="240"/>
      <c r="F256" s="240"/>
      <c r="G256" s="240"/>
      <c r="H256" s="244"/>
      <c r="I256" s="248"/>
      <c r="J256" s="240"/>
      <c r="K256" s="240"/>
      <c r="L256" s="240"/>
      <c r="M256" s="244"/>
      <c r="N256" s="248"/>
      <c r="O256" s="240"/>
      <c r="P256" s="240"/>
      <c r="Q256" s="229"/>
      <c r="R256" s="415"/>
      <c r="S256" s="230"/>
    </row>
    <row r="257" spans="2:19" x14ac:dyDescent="0.2">
      <c r="B257" s="237"/>
      <c r="C257" s="241"/>
      <c r="D257" s="241"/>
      <c r="E257" s="241"/>
      <c r="F257" s="241"/>
      <c r="G257" s="241"/>
      <c r="H257" s="245"/>
      <c r="I257" s="249"/>
      <c r="J257" s="241"/>
      <c r="K257" s="241"/>
      <c r="L257" s="241"/>
      <c r="M257" s="245"/>
      <c r="N257" s="249"/>
      <c r="O257" s="241"/>
      <c r="P257" s="241"/>
      <c r="Q257" s="231"/>
      <c r="R257" s="416"/>
      <c r="S257" s="232"/>
    </row>
    <row r="258" spans="2:19" x14ac:dyDescent="0.2">
      <c r="B258" s="236"/>
      <c r="C258" s="240"/>
      <c r="D258" s="240"/>
      <c r="E258" s="240"/>
      <c r="F258" s="240"/>
      <c r="G258" s="240"/>
      <c r="H258" s="244"/>
      <c r="I258" s="248"/>
      <c r="J258" s="240"/>
      <c r="K258" s="240"/>
      <c r="L258" s="240"/>
      <c r="M258" s="244"/>
      <c r="N258" s="248"/>
      <c r="O258" s="240"/>
      <c r="P258" s="240"/>
      <c r="Q258" s="229"/>
      <c r="R258" s="415"/>
      <c r="S258" s="230"/>
    </row>
    <row r="259" spans="2:19" ht="17" customHeight="1" x14ac:dyDescent="0.2">
      <c r="B259" s="237"/>
      <c r="C259" s="241"/>
      <c r="D259" s="241"/>
      <c r="E259" s="241"/>
      <c r="F259" s="241"/>
      <c r="G259" s="241"/>
      <c r="H259" s="245"/>
      <c r="I259" s="249"/>
      <c r="J259" s="241"/>
      <c r="K259" s="241"/>
      <c r="L259" s="241"/>
      <c r="M259" s="245"/>
      <c r="N259" s="249"/>
      <c r="O259" s="241"/>
      <c r="P259" s="241"/>
      <c r="Q259" s="231"/>
      <c r="R259" s="416"/>
      <c r="S259" s="232"/>
    </row>
    <row r="260" spans="2:19" x14ac:dyDescent="0.2">
      <c r="B260" s="236"/>
      <c r="C260" s="240"/>
      <c r="D260" s="240"/>
      <c r="E260" s="240"/>
      <c r="F260" s="240"/>
      <c r="G260" s="240"/>
      <c r="H260" s="244"/>
      <c r="I260" s="248"/>
      <c r="J260" s="240"/>
      <c r="K260" s="240"/>
      <c r="L260" s="240"/>
      <c r="M260" s="244"/>
      <c r="N260" s="248"/>
      <c r="O260" s="240"/>
      <c r="P260" s="240"/>
      <c r="Q260" s="229"/>
      <c r="R260" s="415"/>
      <c r="S260" s="230"/>
    </row>
    <row r="261" spans="2:19" x14ac:dyDescent="0.2">
      <c r="B261" s="237"/>
      <c r="C261" s="241"/>
      <c r="D261" s="241"/>
      <c r="E261" s="241"/>
      <c r="F261" s="241"/>
      <c r="G261" s="241"/>
      <c r="H261" s="245"/>
      <c r="I261" s="249"/>
      <c r="J261" s="241"/>
      <c r="K261" s="241"/>
      <c r="L261" s="241"/>
      <c r="M261" s="245"/>
      <c r="N261" s="249"/>
      <c r="O261" s="241"/>
      <c r="P261" s="241"/>
      <c r="Q261" s="231"/>
      <c r="R261" s="416"/>
      <c r="S261" s="232"/>
    </row>
    <row r="262" spans="2:19" x14ac:dyDescent="0.2">
      <c r="B262" s="236"/>
      <c r="C262" s="240"/>
      <c r="D262" s="240"/>
      <c r="E262" s="240"/>
      <c r="F262" s="240"/>
      <c r="G262" s="240"/>
      <c r="H262" s="244"/>
      <c r="I262" s="248"/>
      <c r="J262" s="240"/>
      <c r="K262" s="240"/>
      <c r="L262" s="240"/>
      <c r="M262" s="244"/>
      <c r="N262" s="248"/>
      <c r="O262" s="240"/>
      <c r="P262" s="240"/>
      <c r="Q262" s="229"/>
      <c r="R262" s="415"/>
      <c r="S262" s="230"/>
    </row>
    <row r="263" spans="2:19" ht="17" customHeight="1" x14ac:dyDescent="0.2">
      <c r="B263" s="237"/>
      <c r="C263" s="241"/>
      <c r="D263" s="241"/>
      <c r="E263" s="241"/>
      <c r="F263" s="241"/>
      <c r="G263" s="241"/>
      <c r="H263" s="245"/>
      <c r="I263" s="249"/>
      <c r="J263" s="241"/>
      <c r="K263" s="241"/>
      <c r="L263" s="241"/>
      <c r="M263" s="245"/>
      <c r="N263" s="249"/>
      <c r="O263" s="241"/>
      <c r="P263" s="241"/>
      <c r="Q263" s="231"/>
      <c r="R263" s="416"/>
      <c r="S263" s="232"/>
    </row>
    <row r="264" spans="2:19" x14ac:dyDescent="0.2">
      <c r="B264" s="236"/>
      <c r="C264" s="240"/>
      <c r="D264" s="240"/>
      <c r="E264" s="240"/>
      <c r="F264" s="240"/>
      <c r="G264" s="240"/>
      <c r="H264" s="244"/>
      <c r="I264" s="248"/>
      <c r="J264" s="240"/>
      <c r="K264" s="240"/>
      <c r="L264" s="240"/>
      <c r="M264" s="244"/>
      <c r="N264" s="248"/>
      <c r="O264" s="240"/>
      <c r="P264" s="240"/>
      <c r="Q264" s="229"/>
      <c r="R264" s="415"/>
      <c r="S264" s="230"/>
    </row>
    <row r="265" spans="2:19" x14ac:dyDescent="0.2">
      <c r="B265" s="237"/>
      <c r="C265" s="241"/>
      <c r="D265" s="241"/>
      <c r="E265" s="241"/>
      <c r="F265" s="241"/>
      <c r="G265" s="241"/>
      <c r="H265" s="245"/>
      <c r="I265" s="249"/>
      <c r="J265" s="241"/>
      <c r="K265" s="241"/>
      <c r="L265" s="241"/>
      <c r="M265" s="245"/>
      <c r="N265" s="249"/>
      <c r="O265" s="241"/>
      <c r="P265" s="241"/>
      <c r="Q265" s="231"/>
      <c r="R265" s="416"/>
      <c r="S265" s="232"/>
    </row>
    <row r="266" spans="2:19" x14ac:dyDescent="0.2">
      <c r="B266" s="236"/>
      <c r="C266" s="240"/>
      <c r="D266" s="240"/>
      <c r="E266" s="240"/>
      <c r="F266" s="240"/>
      <c r="G266" s="240"/>
      <c r="H266" s="244"/>
      <c r="I266" s="248"/>
      <c r="J266" s="240"/>
      <c r="K266" s="240"/>
      <c r="L266" s="240"/>
      <c r="M266" s="244"/>
      <c r="N266" s="248"/>
      <c r="O266" s="240"/>
      <c r="P266" s="240"/>
      <c r="Q266" s="229"/>
      <c r="R266" s="415"/>
      <c r="S266" s="230"/>
    </row>
    <row r="267" spans="2:19" ht="17" customHeight="1" x14ac:dyDescent="0.2">
      <c r="B267" s="237"/>
      <c r="C267" s="241"/>
      <c r="D267" s="241"/>
      <c r="E267" s="241"/>
      <c r="F267" s="241"/>
      <c r="G267" s="241"/>
      <c r="H267" s="245"/>
      <c r="I267" s="249"/>
      <c r="J267" s="241"/>
      <c r="K267" s="241"/>
      <c r="L267" s="241"/>
      <c r="M267" s="245"/>
      <c r="N267" s="249"/>
      <c r="O267" s="241"/>
      <c r="P267" s="241"/>
      <c r="Q267" s="231"/>
      <c r="R267" s="416"/>
      <c r="S267" s="232"/>
    </row>
    <row r="268" spans="2:19" ht="17" customHeight="1" x14ac:dyDescent="0.2">
      <c r="B268" s="236"/>
      <c r="C268" s="240"/>
      <c r="D268" s="240"/>
      <c r="E268" s="240"/>
      <c r="F268" s="240"/>
      <c r="G268" s="240"/>
      <c r="H268" s="244"/>
      <c r="I268" s="248"/>
      <c r="J268" s="240"/>
      <c r="K268" s="240"/>
      <c r="L268" s="240"/>
      <c r="M268" s="244"/>
      <c r="N268" s="248"/>
      <c r="O268" s="240"/>
      <c r="P268" s="240"/>
      <c r="Q268" s="229"/>
      <c r="R268" s="415"/>
      <c r="S268" s="230"/>
    </row>
    <row r="269" spans="2:19" x14ac:dyDescent="0.2">
      <c r="B269" s="237"/>
      <c r="C269" s="241"/>
      <c r="D269" s="241"/>
      <c r="E269" s="241"/>
      <c r="F269" s="241"/>
      <c r="G269" s="241"/>
      <c r="H269" s="245"/>
      <c r="I269" s="249"/>
      <c r="J269" s="241"/>
      <c r="K269" s="241"/>
      <c r="L269" s="241"/>
      <c r="M269" s="245"/>
      <c r="N269" s="249"/>
      <c r="O269" s="241"/>
      <c r="P269" s="241"/>
      <c r="Q269" s="231"/>
      <c r="R269" s="416"/>
      <c r="S269" s="232"/>
    </row>
    <row r="270" spans="2:19" x14ac:dyDescent="0.2">
      <c r="B270" s="236"/>
      <c r="C270" s="240"/>
      <c r="D270" s="240"/>
      <c r="E270" s="240"/>
      <c r="F270" s="240"/>
      <c r="G270" s="240"/>
      <c r="H270" s="244"/>
      <c r="I270" s="248"/>
      <c r="J270" s="240"/>
      <c r="K270" s="240"/>
      <c r="L270" s="240"/>
      <c r="M270" s="244"/>
      <c r="N270" s="248"/>
      <c r="O270" s="240"/>
      <c r="P270" s="240"/>
      <c r="Q270" s="229"/>
      <c r="R270" s="415"/>
      <c r="S270" s="230"/>
    </row>
    <row r="271" spans="2:19" ht="17" customHeight="1" x14ac:dyDescent="0.2">
      <c r="B271" s="237"/>
      <c r="C271" s="241"/>
      <c r="D271" s="241"/>
      <c r="E271" s="241"/>
      <c r="F271" s="241"/>
      <c r="G271" s="241"/>
      <c r="H271" s="245"/>
      <c r="I271" s="249"/>
      <c r="J271" s="241"/>
      <c r="K271" s="241"/>
      <c r="L271" s="241"/>
      <c r="M271" s="245"/>
      <c r="N271" s="249"/>
      <c r="O271" s="241"/>
      <c r="P271" s="241"/>
      <c r="Q271" s="231"/>
      <c r="R271" s="416"/>
      <c r="S271" s="232"/>
    </row>
    <row r="272" spans="2:19" x14ac:dyDescent="0.2">
      <c r="B272" s="236"/>
      <c r="C272" s="240"/>
      <c r="D272" s="240"/>
      <c r="E272" s="240"/>
      <c r="F272" s="240"/>
      <c r="G272" s="240"/>
      <c r="H272" s="244"/>
      <c r="I272" s="248"/>
      <c r="J272" s="240"/>
      <c r="K272" s="240"/>
      <c r="L272" s="240"/>
      <c r="M272" s="244"/>
      <c r="N272" s="248"/>
      <c r="O272" s="240"/>
      <c r="P272" s="240"/>
      <c r="Q272" s="229"/>
      <c r="R272" s="415"/>
      <c r="S272" s="230"/>
    </row>
    <row r="273" spans="2:19" x14ac:dyDescent="0.2">
      <c r="B273" s="237"/>
      <c r="C273" s="241"/>
      <c r="D273" s="241"/>
      <c r="E273" s="241"/>
      <c r="F273" s="241"/>
      <c r="G273" s="241"/>
      <c r="H273" s="245"/>
      <c r="I273" s="249"/>
      <c r="J273" s="241"/>
      <c r="K273" s="241"/>
      <c r="L273" s="241"/>
      <c r="M273" s="245"/>
      <c r="N273" s="249"/>
      <c r="O273" s="241"/>
      <c r="P273" s="241"/>
      <c r="Q273" s="231"/>
      <c r="R273" s="416"/>
      <c r="S273" s="232"/>
    </row>
    <row r="274" spans="2:19" x14ac:dyDescent="0.2">
      <c r="B274" s="236"/>
      <c r="C274" s="240"/>
      <c r="D274" s="240"/>
      <c r="E274" s="240"/>
      <c r="F274" s="240"/>
      <c r="G274" s="240"/>
      <c r="H274" s="244"/>
      <c r="I274" s="248"/>
      <c r="J274" s="240"/>
      <c r="K274" s="240"/>
      <c r="L274" s="240"/>
      <c r="M274" s="244"/>
      <c r="N274" s="248"/>
      <c r="O274" s="240"/>
      <c r="P274" s="240"/>
      <c r="Q274" s="229"/>
      <c r="R274" s="415"/>
      <c r="S274" s="230"/>
    </row>
    <row r="275" spans="2:19" ht="17" customHeight="1" x14ac:dyDescent="0.2">
      <c r="B275" s="237"/>
      <c r="C275" s="241"/>
      <c r="D275" s="241"/>
      <c r="E275" s="241"/>
      <c r="F275" s="241"/>
      <c r="G275" s="241"/>
      <c r="H275" s="245"/>
      <c r="I275" s="249"/>
      <c r="J275" s="241"/>
      <c r="K275" s="241"/>
      <c r="L275" s="241"/>
      <c r="M275" s="245"/>
      <c r="N275" s="249"/>
      <c r="O275" s="241"/>
      <c r="P275" s="241"/>
      <c r="Q275" s="231"/>
      <c r="R275" s="416"/>
      <c r="S275" s="232"/>
    </row>
    <row r="276" spans="2:19" x14ac:dyDescent="0.2">
      <c r="B276" s="236"/>
      <c r="C276" s="240"/>
      <c r="D276" s="240"/>
      <c r="E276" s="240"/>
      <c r="F276" s="240"/>
      <c r="G276" s="240"/>
      <c r="H276" s="244"/>
      <c r="I276" s="248"/>
      <c r="J276" s="240"/>
      <c r="K276" s="240"/>
      <c r="L276" s="240"/>
      <c r="M276" s="244"/>
      <c r="N276" s="248"/>
      <c r="O276" s="240"/>
      <c r="P276" s="240"/>
      <c r="Q276" s="229"/>
      <c r="R276" s="415"/>
      <c r="S276" s="230"/>
    </row>
    <row r="277" spans="2:19" x14ac:dyDescent="0.2">
      <c r="B277" s="237"/>
      <c r="C277" s="241"/>
      <c r="D277" s="241"/>
      <c r="E277" s="241"/>
      <c r="F277" s="241"/>
      <c r="G277" s="241"/>
      <c r="H277" s="245"/>
      <c r="I277" s="249"/>
      <c r="J277" s="241"/>
      <c r="K277" s="241"/>
      <c r="L277" s="241"/>
      <c r="M277" s="245"/>
      <c r="N277" s="249"/>
      <c r="O277" s="241"/>
      <c r="P277" s="241"/>
      <c r="Q277" s="231"/>
      <c r="R277" s="416"/>
      <c r="S277" s="232"/>
    </row>
    <row r="278" spans="2:19" x14ac:dyDescent="0.2">
      <c r="B278" s="236"/>
      <c r="C278" s="240"/>
      <c r="D278" s="240"/>
      <c r="E278" s="240"/>
      <c r="F278" s="240"/>
      <c r="G278" s="240"/>
      <c r="H278" s="244"/>
      <c r="I278" s="248"/>
      <c r="J278" s="240"/>
      <c r="K278" s="240"/>
      <c r="L278" s="240"/>
      <c r="M278" s="244"/>
      <c r="N278" s="248"/>
      <c r="O278" s="240"/>
      <c r="P278" s="240"/>
      <c r="Q278" s="229"/>
      <c r="R278" s="415"/>
      <c r="S278" s="230"/>
    </row>
    <row r="279" spans="2:19" ht="17" customHeight="1" x14ac:dyDescent="0.2">
      <c r="B279" s="237"/>
      <c r="C279" s="241"/>
      <c r="D279" s="241"/>
      <c r="E279" s="241"/>
      <c r="F279" s="241"/>
      <c r="G279" s="241"/>
      <c r="H279" s="245"/>
      <c r="I279" s="249"/>
      <c r="J279" s="241"/>
      <c r="K279" s="241"/>
      <c r="L279" s="241"/>
      <c r="M279" s="245"/>
      <c r="N279" s="249"/>
      <c r="O279" s="241"/>
      <c r="P279" s="241"/>
      <c r="Q279" s="231"/>
      <c r="R279" s="416"/>
      <c r="S279" s="232"/>
    </row>
    <row r="280" spans="2:19" x14ac:dyDescent="0.2">
      <c r="B280" s="236"/>
      <c r="C280" s="240"/>
      <c r="D280" s="240"/>
      <c r="E280" s="240"/>
      <c r="F280" s="240"/>
      <c r="G280" s="240"/>
      <c r="H280" s="244"/>
      <c r="I280" s="248"/>
      <c r="J280" s="240"/>
      <c r="K280" s="240"/>
      <c r="L280" s="240"/>
      <c r="M280" s="244"/>
      <c r="N280" s="248"/>
      <c r="O280" s="240"/>
      <c r="P280" s="240"/>
      <c r="Q280" s="229"/>
      <c r="R280" s="415"/>
      <c r="S280" s="230"/>
    </row>
    <row r="281" spans="2:19" x14ac:dyDescent="0.2">
      <c r="B281" s="238"/>
      <c r="C281" s="242"/>
      <c r="D281" s="242"/>
      <c r="E281" s="242"/>
      <c r="F281" s="242"/>
      <c r="G281" s="242"/>
      <c r="H281" s="246"/>
      <c r="I281" s="250"/>
      <c r="J281" s="242"/>
      <c r="K281" s="242"/>
      <c r="L281" s="242"/>
      <c r="M281" s="246"/>
      <c r="N281" s="250"/>
      <c r="O281" s="242"/>
      <c r="P281" s="242"/>
      <c r="Q281" s="233"/>
      <c r="R281" s="417"/>
      <c r="S281" s="2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ED98-0808-764E-B244-CED7C24EC5EE}">
  <dimension ref="A1:K37"/>
  <sheetViews>
    <sheetView workbookViewId="0">
      <selection activeCell="G11" sqref="G11"/>
    </sheetView>
  </sheetViews>
  <sheetFormatPr baseColWidth="10" defaultRowHeight="16" x14ac:dyDescent="0.2"/>
  <cols>
    <col min="2" max="2" width="27.6640625" customWidth="1"/>
    <col min="3" max="3" width="33.1640625" bestFit="1" customWidth="1"/>
    <col min="4" max="4" width="13.33203125" customWidth="1"/>
    <col min="5" max="7" width="12.5" customWidth="1"/>
    <col min="8" max="8" width="13.33203125" bestFit="1" customWidth="1"/>
    <col min="9" max="9" width="7.5" customWidth="1"/>
    <col min="10" max="10" width="13.83203125" bestFit="1" customWidth="1"/>
    <col min="11" max="11" width="13.33203125" bestFit="1" customWidth="1"/>
    <col min="12" max="12" width="13.33203125" customWidth="1"/>
    <col min="13" max="13" width="15" customWidth="1"/>
    <col min="14" max="14" width="15.83203125" customWidth="1"/>
    <col min="15" max="15" width="15" customWidth="1"/>
    <col min="16" max="16" width="15.83203125" customWidth="1"/>
    <col min="17" max="17" width="13.33203125" customWidth="1"/>
    <col min="18" max="18" width="14.1640625" customWidth="1"/>
    <col min="19" max="19" width="8.33203125" customWidth="1"/>
  </cols>
  <sheetData>
    <row r="1" spans="1:11" ht="17" x14ac:dyDescent="0.2">
      <c r="A1" s="319"/>
      <c r="B1" s="185" t="s">
        <v>207</v>
      </c>
      <c r="C1" s="184"/>
      <c r="D1" s="184"/>
      <c r="E1" s="184"/>
      <c r="F1" s="184"/>
      <c r="G1" s="186"/>
    </row>
    <row r="2" spans="1:11" ht="15" customHeight="1" x14ac:dyDescent="0.2">
      <c r="A2" s="319"/>
      <c r="B2" s="187" t="s">
        <v>209</v>
      </c>
      <c r="C2" s="196" t="s">
        <v>201</v>
      </c>
      <c r="D2" s="188" t="s">
        <v>210</v>
      </c>
      <c r="E2" s="199">
        <v>27.994006800000001</v>
      </c>
      <c r="F2" s="188" t="s">
        <v>211</v>
      </c>
      <c r="G2" s="189">
        <v>5</v>
      </c>
    </row>
    <row r="3" spans="1:11" ht="15" customHeight="1" x14ac:dyDescent="0.2">
      <c r="A3" s="319"/>
      <c r="B3" s="190" t="s">
        <v>212</v>
      </c>
      <c r="C3" s="197" t="s">
        <v>202</v>
      </c>
      <c r="D3" s="191" t="s">
        <v>213</v>
      </c>
      <c r="E3" s="197">
        <v>-82.467782799999995</v>
      </c>
      <c r="F3" s="191" t="s">
        <v>214</v>
      </c>
      <c r="G3" s="192">
        <v>20</v>
      </c>
    </row>
    <row r="4" spans="1:11" ht="15" customHeight="1" x14ac:dyDescent="0.2">
      <c r="A4" s="319"/>
      <c r="B4" s="193" t="s">
        <v>215</v>
      </c>
      <c r="C4" s="198" t="s">
        <v>203</v>
      </c>
      <c r="D4" s="194" t="s">
        <v>216</v>
      </c>
      <c r="E4" s="200">
        <v>1</v>
      </c>
      <c r="F4" s="194" t="s">
        <v>217</v>
      </c>
      <c r="G4" s="195" t="s">
        <v>204</v>
      </c>
    </row>
    <row r="5" spans="1:11" x14ac:dyDescent="0.2">
      <c r="A5" s="319"/>
      <c r="B5" s="319" t="s">
        <v>207</v>
      </c>
      <c r="C5" s="319"/>
      <c r="D5" s="319"/>
      <c r="E5" s="319"/>
      <c r="F5" s="319"/>
      <c r="G5" s="319"/>
      <c r="H5" s="319"/>
    </row>
    <row r="6" spans="1:11" x14ac:dyDescent="0.2">
      <c r="A6" s="319"/>
      <c r="B6" s="320" t="s">
        <v>208</v>
      </c>
      <c r="C6" s="319"/>
      <c r="D6" s="319"/>
      <c r="E6" s="319"/>
      <c r="F6" s="319"/>
      <c r="G6" s="319"/>
      <c r="H6" s="319"/>
    </row>
    <row r="7" spans="1:11" ht="18" customHeight="1" x14ac:dyDescent="0.2">
      <c r="A7" s="319"/>
      <c r="B7" s="201" t="s">
        <v>24</v>
      </c>
      <c r="C7" s="202" t="s">
        <v>109</v>
      </c>
      <c r="D7" s="202" t="s">
        <v>110</v>
      </c>
      <c r="E7" s="202" t="s">
        <v>222</v>
      </c>
      <c r="F7" s="202" t="s">
        <v>227</v>
      </c>
      <c r="G7" s="202" t="s">
        <v>111</v>
      </c>
      <c r="H7" s="203" t="s">
        <v>112</v>
      </c>
    </row>
    <row r="8" spans="1:11" ht="16" customHeight="1" x14ac:dyDescent="0.2">
      <c r="A8" s="319"/>
      <c r="B8" s="204" t="str">
        <f>IF(OR(E8=0,E8=""),"",C8&amp;"BR/"&amp;D8&amp;"BA")</f>
        <v/>
      </c>
      <c r="C8" s="335" t="e" cm="1" vm="1">
        <f t="array" ref="C8">_xlfn._xlws.SORT(_xlfn.UNIQUE(_xlfn._xlws.FILTER('Raw Comps'!$J$4:$K$998,'Raw Comps'!$J$4:$J$998&lt;&gt;"")),1,1)</f>
        <v>#VALUE!</v>
      </c>
      <c r="D8" s="335"/>
      <c r="E8" s="205" t="str">
        <f>IF(D8=0,"",COUNTIFS('Raw Comps'!$J$3:$J$998,C8,'Raw Comps'!$K$3:$K$998,D8))</f>
        <v/>
      </c>
      <c r="F8" s="338"/>
      <c r="G8" s="206" t="str">
        <f>IFERROR(AVERAGEIFS('Raw Comps'!$L$3:$L$998,'Raw Comps'!$J$3:$J$998,C8,'Raw Comps'!$K$3:$K$998,D8),"")</f>
        <v/>
      </c>
      <c r="H8" s="207" t="str">
        <f>IFERROR(AVERAGEIFS('Raw Comps'!$I$3:$I$998,'Raw Comps'!$J$3:$J$998,C8,'Raw Comps'!$K$3:$K$998,D8),"")</f>
        <v/>
      </c>
      <c r="K8" s="325"/>
    </row>
    <row r="9" spans="1:11" ht="16" customHeight="1" x14ac:dyDescent="0.2">
      <c r="A9" s="319"/>
      <c r="B9" s="208" t="str">
        <f t="shared" ref="B9:B30" si="0">IF(OR(E9=0,E9=""),"",C9&amp;"BR/"&amp;D9&amp;"BA")</f>
        <v/>
      </c>
      <c r="C9" s="336"/>
      <c r="D9" s="336"/>
      <c r="E9" s="210" t="str">
        <f>IF(D9=0,"",COUNTIFS('Raw Comps'!$J$3:$J$998,C9,'Raw Comps'!$K$3:$K$998,D9))</f>
        <v/>
      </c>
      <c r="F9" s="339"/>
      <c r="G9" s="211" t="str">
        <f>IFERROR(AVERAGEIFS('Raw Comps'!$L$3:$L$998,'Raw Comps'!$J$3:$J$998,C9,'Raw Comps'!$K$3:$K$998,D9),"")</f>
        <v/>
      </c>
      <c r="H9" s="212" t="str">
        <f>IFERROR(AVERAGEIFS('Raw Comps'!$I$3:$I$998,'Raw Comps'!$J$3:$J$998,C9,'Raw Comps'!$K$3:$K$998,D9),"")</f>
        <v/>
      </c>
      <c r="I9" s="180"/>
      <c r="K9" s="182"/>
    </row>
    <row r="10" spans="1:11" ht="16" customHeight="1" x14ac:dyDescent="0.2">
      <c r="A10" s="319"/>
      <c r="B10" s="213" t="str">
        <f t="shared" si="0"/>
        <v/>
      </c>
      <c r="C10" s="337"/>
      <c r="D10" s="337"/>
      <c r="E10" s="215" t="str">
        <f>IF(D10=0,"",COUNTIFS('Raw Comps'!$J$3:$J$998,C10,'Raw Comps'!$K$3:$K$998,D10))</f>
        <v/>
      </c>
      <c r="F10" s="340"/>
      <c r="G10" s="216" t="str">
        <f>IFERROR(AVERAGEIFS('Raw Comps'!$L$3:$L$998,'Raw Comps'!$J$3:$J$998,C10,'Raw Comps'!$K$3:$K$998,D10),"")</f>
        <v/>
      </c>
      <c r="H10" s="217" t="str">
        <f>IFERROR(AVERAGEIFS('Raw Comps'!$I$3:$I$998,'Raw Comps'!$J$3:$J$998,C10,'Raw Comps'!$K$3:$K$998,D10),"")</f>
        <v/>
      </c>
      <c r="I10" s="180"/>
      <c r="J10" s="181"/>
      <c r="K10" s="182"/>
    </row>
    <row r="11" spans="1:11" ht="16" customHeight="1" x14ac:dyDescent="0.2">
      <c r="A11" s="319"/>
      <c r="B11" s="208" t="str">
        <f t="shared" si="0"/>
        <v/>
      </c>
      <c r="C11" s="336"/>
      <c r="D11" s="336"/>
      <c r="E11" s="210" t="str">
        <f>IF(D11=0,"",COUNTIFS('Raw Comps'!$J$3:$J$998,C11,'Raw Comps'!$K$3:$K$998,D11))</f>
        <v/>
      </c>
      <c r="F11" s="339"/>
      <c r="G11" s="211" t="str">
        <f>IFERROR(AVERAGEIFS('Raw Comps'!$L$3:$L$998,'Raw Comps'!$J$3:$J$998,C11,'Raw Comps'!$K$3:$K$998,D11),"")</f>
        <v/>
      </c>
      <c r="H11" s="212" t="str">
        <f>IFERROR(AVERAGEIFS('Raw Comps'!$I$3:$I$998,'Raw Comps'!$J$3:$J$998,C11,'Raw Comps'!$K$3:$K$998,D11),"")</f>
        <v/>
      </c>
      <c r="I11" s="180"/>
      <c r="J11" s="181"/>
      <c r="K11" s="182"/>
    </row>
    <row r="12" spans="1:11" ht="16" customHeight="1" x14ac:dyDescent="0.2">
      <c r="A12" s="319"/>
      <c r="B12" s="213" t="str">
        <f t="shared" si="0"/>
        <v/>
      </c>
      <c r="C12" s="337"/>
      <c r="D12" s="337"/>
      <c r="E12" s="215" t="str">
        <f>IF(D12=0,"",COUNTIFS('Raw Comps'!$J$3:$J$998,C12,'Raw Comps'!$K$3:$K$998,D12))</f>
        <v/>
      </c>
      <c r="F12" s="340"/>
      <c r="G12" s="216" t="str">
        <f>IFERROR(AVERAGEIFS('Raw Comps'!$L$3:$L$998,'Raw Comps'!$J$3:$J$998,C12,'Raw Comps'!$K$3:$K$998,D12),"")</f>
        <v/>
      </c>
      <c r="H12" s="217" t="str">
        <f>IFERROR(AVERAGEIFS('Raw Comps'!$I$3:$I$998,'Raw Comps'!$J$3:$J$998,C12,'Raw Comps'!$K$3:$K$998,D12),"")</f>
        <v/>
      </c>
      <c r="I12" s="180"/>
      <c r="J12" s="181"/>
      <c r="K12" s="182"/>
    </row>
    <row r="13" spans="1:11" ht="16" customHeight="1" x14ac:dyDescent="0.2">
      <c r="A13" s="319"/>
      <c r="B13" s="208" t="str">
        <f t="shared" si="0"/>
        <v/>
      </c>
      <c r="C13" s="336"/>
      <c r="D13" s="336"/>
      <c r="E13" s="210" t="str">
        <f>IF(D13=0,"",COUNTIFS('Raw Comps'!$J$3:$J$998,C13,'Raw Comps'!$K$3:$K$998,D13))</f>
        <v/>
      </c>
      <c r="F13" s="339"/>
      <c r="G13" s="211" t="str">
        <f>IFERROR(AVERAGEIFS('Raw Comps'!$L$3:$L$998,'Raw Comps'!$J$3:$J$998,C13,'Raw Comps'!$K$3:$K$998,D13),"")</f>
        <v/>
      </c>
      <c r="H13" s="212" t="str">
        <f>IFERROR(AVERAGEIFS('Raw Comps'!$I$3:$I$998,'Raw Comps'!$J$3:$J$998,C13,'Raw Comps'!$K$3:$K$998,D13),"")</f>
        <v/>
      </c>
      <c r="I13" s="180"/>
      <c r="J13" s="181"/>
      <c r="K13" s="182"/>
    </row>
    <row r="14" spans="1:11" ht="16" customHeight="1" x14ac:dyDescent="0.2">
      <c r="A14" s="319"/>
      <c r="B14" s="213" t="str">
        <f t="shared" si="0"/>
        <v/>
      </c>
      <c r="C14" s="337"/>
      <c r="D14" s="337"/>
      <c r="E14" s="215" t="str">
        <f>IF(D14=0,"",COUNTIFS('Raw Comps'!$J$3:$J$998,C14,'Raw Comps'!$K$3:$K$998,D14))</f>
        <v/>
      </c>
      <c r="F14" s="340"/>
      <c r="G14" s="216" t="str">
        <f>IFERROR(AVERAGEIFS('Raw Comps'!$L$3:$L$998,'Raw Comps'!$J$3:$J$998,C14,'Raw Comps'!$K$3:$K$998,D14),"")</f>
        <v/>
      </c>
      <c r="H14" s="217" t="str">
        <f>IFERROR(AVERAGEIFS('Raw Comps'!$I$3:$I$998,'Raw Comps'!$J$3:$J$998,C14,'Raw Comps'!$K$3:$K$998,D14),"")</f>
        <v/>
      </c>
      <c r="I14" s="180"/>
      <c r="J14" s="181"/>
      <c r="K14" s="182"/>
    </row>
    <row r="15" spans="1:11" ht="16" customHeight="1" x14ac:dyDescent="0.2">
      <c r="A15" s="319"/>
      <c r="B15" s="208" t="str">
        <f t="shared" si="0"/>
        <v/>
      </c>
      <c r="C15" s="336"/>
      <c r="D15" s="336"/>
      <c r="E15" s="210" t="str">
        <f>IF(D15=0,"",COUNTIFS('Raw Comps'!$J$3:$J$998,C15,'Raw Comps'!$K$3:$K$998,D15))</f>
        <v/>
      </c>
      <c r="F15" s="339"/>
      <c r="G15" s="211" t="str">
        <f>IFERROR(AVERAGEIFS('Raw Comps'!$L$3:$L$998,'Raw Comps'!$J$3:$J$998,C15,'Raw Comps'!$K$3:$K$998,D15),"")</f>
        <v/>
      </c>
      <c r="H15" s="212" t="str">
        <f>IFERROR(AVERAGEIFS('Raw Comps'!$I$3:$I$998,'Raw Comps'!$J$3:$J$998,C15,'Raw Comps'!$K$3:$K$998,D15),"")</f>
        <v/>
      </c>
      <c r="I15" s="180"/>
      <c r="J15" s="181"/>
      <c r="K15" s="182"/>
    </row>
    <row r="16" spans="1:11" ht="16" customHeight="1" x14ac:dyDescent="0.2">
      <c r="A16" s="319"/>
      <c r="B16" s="213" t="str">
        <f t="shared" si="0"/>
        <v/>
      </c>
      <c r="C16" s="337"/>
      <c r="D16" s="337"/>
      <c r="E16" s="215" t="str">
        <f>IF(D16=0,"",COUNTIFS('Raw Comps'!$J$3:$J$998,C16,'Raw Comps'!$K$3:$K$998,D16))</f>
        <v/>
      </c>
      <c r="F16" s="340"/>
      <c r="G16" s="216" t="str">
        <f>IFERROR(AVERAGEIFS('Raw Comps'!$L$3:$L$998,'Raw Comps'!$J$3:$J$998,C16,'Raw Comps'!$K$3:$K$998,D16),"")</f>
        <v/>
      </c>
      <c r="H16" s="217" t="str">
        <f>IFERROR(AVERAGEIFS('Raw Comps'!$I$3:$I$998,'Raw Comps'!$J$3:$J$998,C16,'Raw Comps'!$K$3:$K$998,D16),"")</f>
        <v/>
      </c>
      <c r="I16" s="180"/>
      <c r="J16" s="181"/>
      <c r="K16" s="182"/>
    </row>
    <row r="17" spans="1:11" ht="16" customHeight="1" x14ac:dyDescent="0.2">
      <c r="A17" s="319"/>
      <c r="B17" s="208" t="str">
        <f t="shared" si="0"/>
        <v/>
      </c>
      <c r="C17" s="336"/>
      <c r="D17" s="336"/>
      <c r="E17" s="210" t="str">
        <f>IF(D17=0,"",COUNTIFS('Raw Comps'!$J$3:$J$998,C17,'Raw Comps'!$K$3:$K$998,D17))</f>
        <v/>
      </c>
      <c r="F17" s="339"/>
      <c r="G17" s="211" t="str">
        <f>IFERROR(AVERAGEIFS('Raw Comps'!$L$3:$L$998,'Raw Comps'!$J$3:$J$998,C17,'Raw Comps'!$K$3:$K$998,D17),"")</f>
        <v/>
      </c>
      <c r="H17" s="212" t="str">
        <f>IFERROR(AVERAGEIFS('Raw Comps'!$I$3:$I$998,'Raw Comps'!$J$3:$J$998,C17,'Raw Comps'!$K$3:$K$998,D17),"")</f>
        <v/>
      </c>
      <c r="I17" s="180"/>
      <c r="J17" s="181"/>
      <c r="K17" s="182"/>
    </row>
    <row r="18" spans="1:11" ht="16" customHeight="1" x14ac:dyDescent="0.2">
      <c r="A18" s="319"/>
      <c r="B18" s="213" t="str">
        <f t="shared" si="0"/>
        <v/>
      </c>
      <c r="C18" s="337"/>
      <c r="D18" s="337"/>
      <c r="E18" s="215" t="str">
        <f>IF(D18=0,"",COUNTIFS('Raw Comps'!$J$3:$J$998,C18,'Raw Comps'!$K$3:$K$998,D18))</f>
        <v/>
      </c>
      <c r="F18" s="340"/>
      <c r="G18" s="216" t="str">
        <f>IFERROR(AVERAGEIFS('Raw Comps'!$L$3:$L$998,'Raw Comps'!$J$3:$J$998,C18,'Raw Comps'!$K$3:$K$998,D18),"")</f>
        <v/>
      </c>
      <c r="H18" s="217" t="str">
        <f>IFERROR(AVERAGEIFS('Raw Comps'!$I$3:$I$998,'Raw Comps'!$J$3:$J$998,C18,'Raw Comps'!$K$3:$K$998,D18),"")</f>
        <v/>
      </c>
    </row>
    <row r="19" spans="1:11" x14ac:dyDescent="0.2">
      <c r="A19" s="319"/>
      <c r="B19" s="208" t="str">
        <f t="shared" si="0"/>
        <v/>
      </c>
      <c r="C19" s="209"/>
      <c r="D19" s="209"/>
      <c r="E19" s="210" t="str">
        <f>IF(D19=0,"",COUNTIFS('Raw Comps'!$J$3:$J$998,C19,'Raw Comps'!$K$3:$K$998,D19))</f>
        <v/>
      </c>
      <c r="F19" s="339"/>
      <c r="G19" s="211" t="str">
        <f>IFERROR(AVERAGEIFS('Raw Comps'!$L$3:$L$998,'Raw Comps'!$J$3:$J$998,C19,'Raw Comps'!$K$3:$K$998,D19),"")</f>
        <v/>
      </c>
      <c r="H19" s="212" t="str">
        <f>IFERROR(AVERAGEIFS('Raw Comps'!$I$3:$I$998,'Raw Comps'!$J$3:$J$998,C19,'Raw Comps'!$K$3:$K$998,D19),"")</f>
        <v/>
      </c>
    </row>
    <row r="20" spans="1:11" x14ac:dyDescent="0.2">
      <c r="B20" s="213" t="str">
        <f t="shared" si="0"/>
        <v/>
      </c>
      <c r="C20" s="214"/>
      <c r="D20" s="214"/>
      <c r="E20" s="215" t="str">
        <f>IF(D20=0,"",COUNTIFS('Raw Comps'!$J$3:$J$998,C20,'Raw Comps'!$K$3:$K$998,D20))</f>
        <v/>
      </c>
      <c r="F20" s="340"/>
      <c r="G20" s="216" t="str">
        <f>IFERROR(AVERAGEIFS('Raw Comps'!$L$3:$L$998,'Raw Comps'!$J$3:$J$998,C20,'Raw Comps'!$K$3:$K$998,D20),"")</f>
        <v/>
      </c>
      <c r="H20" s="217" t="str">
        <f>IFERROR(AVERAGEIFS('Raw Comps'!$I$3:$I$998,'Raw Comps'!$J$3:$J$998,C20,'Raw Comps'!$K$3:$K$998,D20),"")</f>
        <v/>
      </c>
    </row>
    <row r="21" spans="1:11" x14ac:dyDescent="0.2">
      <c r="B21" s="208" t="str">
        <f t="shared" si="0"/>
        <v/>
      </c>
      <c r="C21" s="209"/>
      <c r="D21" s="209"/>
      <c r="E21" s="210" t="str">
        <f>IF(D21=0,"",COUNTIFS('Raw Comps'!$J$3:$J$998,C21,'Raw Comps'!$K$3:$K$998,D21))</f>
        <v/>
      </c>
      <c r="F21" s="339"/>
      <c r="G21" s="211" t="str">
        <f>IFERROR(AVERAGEIFS('Raw Comps'!$L$3:$L$998,'Raw Comps'!$J$3:$J$998,C21,'Raw Comps'!$K$3:$K$998,D21),"")</f>
        <v/>
      </c>
      <c r="H21" s="212" t="str">
        <f>IFERROR(AVERAGEIFS('Raw Comps'!$I$3:$I$998,'Raw Comps'!$J$3:$J$998,C21,'Raw Comps'!$K$3:$K$998,D21),"")</f>
        <v/>
      </c>
    </row>
    <row r="22" spans="1:11" x14ac:dyDescent="0.2">
      <c r="B22" s="213" t="str">
        <f t="shared" si="0"/>
        <v/>
      </c>
      <c r="C22" s="214"/>
      <c r="D22" s="214"/>
      <c r="E22" s="215" t="str">
        <f>IF(D22=0,"",COUNTIFS('Raw Comps'!$J$3:$J$998,C22,'Raw Comps'!$K$3:$K$998,D22))</f>
        <v/>
      </c>
      <c r="F22" s="340"/>
      <c r="G22" s="216" t="str">
        <f>IFERROR(AVERAGEIFS('Raw Comps'!$L$3:$L$998,'Raw Comps'!$J$3:$J$998,C22,'Raw Comps'!$K$3:$K$998,D22),"")</f>
        <v/>
      </c>
      <c r="H22" s="217" t="str">
        <f>IFERROR(AVERAGEIFS('Raw Comps'!$I$3:$I$998,'Raw Comps'!$J$3:$J$998,C22,'Raw Comps'!$K$3:$K$998,D22),"")</f>
        <v/>
      </c>
    </row>
    <row r="23" spans="1:11" x14ac:dyDescent="0.2">
      <c r="B23" s="208" t="str">
        <f t="shared" si="0"/>
        <v/>
      </c>
      <c r="C23" s="209"/>
      <c r="D23" s="209"/>
      <c r="E23" s="210" t="str">
        <f>IF(D23=0,"",COUNTIFS('Raw Comps'!$J$3:$J$998,C23,'Raw Comps'!$K$3:$K$998,D23))</f>
        <v/>
      </c>
      <c r="F23" s="339"/>
      <c r="G23" s="211" t="str">
        <f>IFERROR(AVERAGEIFS('Raw Comps'!$L$3:$L$998,'Raw Comps'!$J$3:$J$998,C23,'Raw Comps'!$K$3:$K$998,D23),"")</f>
        <v/>
      </c>
      <c r="H23" s="212" t="str">
        <f>IFERROR(AVERAGEIFS('Raw Comps'!$I$3:$I$998,'Raw Comps'!$J$3:$J$998,C23,'Raw Comps'!$K$3:$K$998,D23),"")</f>
        <v/>
      </c>
    </row>
    <row r="24" spans="1:11" x14ac:dyDescent="0.2">
      <c r="B24" s="213" t="str">
        <f t="shared" si="0"/>
        <v/>
      </c>
      <c r="C24" s="214"/>
      <c r="D24" s="214"/>
      <c r="E24" s="215" t="str">
        <f>IF(D24=0,"",COUNTIFS('Raw Comps'!$J$3:$J$998,C24,'Raw Comps'!$K$3:$K$998,D24))</f>
        <v/>
      </c>
      <c r="F24" s="340"/>
      <c r="G24" s="216" t="str">
        <f>IFERROR(AVERAGEIFS('Raw Comps'!$L$3:$L$998,'Raw Comps'!$J$3:$J$998,C24,'Raw Comps'!$K$3:$K$998,D24),"")</f>
        <v/>
      </c>
      <c r="H24" s="217" t="str">
        <f>IFERROR(AVERAGEIFS('Raw Comps'!$I$3:$I$998,'Raw Comps'!$J$3:$J$998,C24,'Raw Comps'!$K$3:$K$998,D24),"")</f>
        <v/>
      </c>
    </row>
    <row r="25" spans="1:11" x14ac:dyDescent="0.2">
      <c r="B25" s="208" t="str">
        <f t="shared" si="0"/>
        <v/>
      </c>
      <c r="C25" s="209"/>
      <c r="D25" s="209"/>
      <c r="E25" s="210" t="str">
        <f>IF(D25=0,"",COUNTIFS('Raw Comps'!$J$3:$J$998,C25,'Raw Comps'!$K$3:$K$998,D25))</f>
        <v/>
      </c>
      <c r="F25" s="339"/>
      <c r="G25" s="211" t="str">
        <f>IFERROR(AVERAGEIFS('Raw Comps'!$L$3:$L$998,'Raw Comps'!$J$3:$J$998,C25,'Raw Comps'!$K$3:$K$998,D25),"")</f>
        <v/>
      </c>
      <c r="H25" s="212" t="str">
        <f>IFERROR(AVERAGEIFS('Raw Comps'!$I$3:$I$998,'Raw Comps'!$J$3:$J$998,C25,'Raw Comps'!$K$3:$K$998,D25),"")</f>
        <v/>
      </c>
    </row>
    <row r="26" spans="1:11" x14ac:dyDescent="0.2">
      <c r="B26" s="213" t="str">
        <f t="shared" si="0"/>
        <v/>
      </c>
      <c r="C26" s="214"/>
      <c r="D26" s="214"/>
      <c r="E26" s="215" t="str">
        <f>IF(D26=0,"",COUNTIFS('Raw Comps'!$J$3:$J$998,C26,'Raw Comps'!$K$3:$K$998,D26))</f>
        <v/>
      </c>
      <c r="F26" s="340"/>
      <c r="G26" s="216" t="str">
        <f>IFERROR(AVERAGEIFS('Raw Comps'!$L$3:$L$998,'Raw Comps'!$J$3:$J$998,C26,'Raw Comps'!$K$3:$K$998,D26),"")</f>
        <v/>
      </c>
      <c r="H26" s="217" t="str">
        <f>IFERROR(AVERAGEIFS('Raw Comps'!$I$3:$I$998,'Raw Comps'!$J$3:$J$998,C26,'Raw Comps'!$K$3:$K$998,D26),"")</f>
        <v/>
      </c>
    </row>
    <row r="27" spans="1:11" x14ac:dyDescent="0.2">
      <c r="B27" s="208" t="str">
        <f t="shared" si="0"/>
        <v/>
      </c>
      <c r="C27" s="209"/>
      <c r="D27" s="209"/>
      <c r="E27" s="210" t="str">
        <f>IF(D27=0,"",COUNTIFS('Raw Comps'!$J$3:$J$998,C27,'Raw Comps'!$K$3:$K$998,D27))</f>
        <v/>
      </c>
      <c r="F27" s="339"/>
      <c r="G27" s="211" t="str">
        <f>IFERROR(AVERAGEIFS('Raw Comps'!$L$3:$L$998,'Raw Comps'!$J$3:$J$998,C27,'Raw Comps'!$K$3:$K$998,D27),"")</f>
        <v/>
      </c>
      <c r="H27" s="212" t="str">
        <f>IFERROR(AVERAGEIFS('Raw Comps'!$I$3:$I$998,'Raw Comps'!$J$3:$J$998,C27,'Raw Comps'!$K$3:$K$998,D27),"")</f>
        <v/>
      </c>
    </row>
    <row r="28" spans="1:11" x14ac:dyDescent="0.2">
      <c r="B28" s="213" t="str">
        <f t="shared" si="0"/>
        <v/>
      </c>
      <c r="C28" s="214"/>
      <c r="D28" s="214"/>
      <c r="E28" s="215" t="str">
        <f>IF(D28=0,"",COUNTIFS('Raw Comps'!$J$3:$J$998,C28,'Raw Comps'!$K$3:$K$998,D28))</f>
        <v/>
      </c>
      <c r="F28" s="340"/>
      <c r="G28" s="216" t="str">
        <f>IFERROR(AVERAGEIFS('Raw Comps'!$L$3:$L$998,'Raw Comps'!$J$3:$J$998,C28,'Raw Comps'!$K$3:$K$998,D28),"")</f>
        <v/>
      </c>
      <c r="H28" s="217" t="str">
        <f>IFERROR(AVERAGEIFS('Raw Comps'!$I$3:$I$998,'Raw Comps'!$J$3:$J$998,C28,'Raw Comps'!$K$3:$K$998,D28),"")</f>
        <v/>
      </c>
    </row>
    <row r="29" spans="1:11" x14ac:dyDescent="0.2">
      <c r="B29" s="208" t="str">
        <f t="shared" si="0"/>
        <v/>
      </c>
      <c r="C29" s="209"/>
      <c r="D29" s="209"/>
      <c r="E29" s="210" t="str">
        <f>IF(D29=0,"",COUNTIFS('Raw Comps'!$J$3:$J$998,C29,'Raw Comps'!$K$3:$K$998,D29))</f>
        <v/>
      </c>
      <c r="F29" s="339"/>
      <c r="G29" s="211" t="str">
        <f>IFERROR(AVERAGEIFS('Raw Comps'!$L$3:$L$998,'Raw Comps'!$J$3:$J$998,C29,'Raw Comps'!$K$3:$K$998,D29),"")</f>
        <v/>
      </c>
      <c r="H29" s="212" t="str">
        <f>IFERROR(AVERAGEIFS('Raw Comps'!$I$3:$I$998,'Raw Comps'!$J$3:$J$998,C29,'Raw Comps'!$K$3:$K$998,D29),"")</f>
        <v/>
      </c>
    </row>
    <row r="30" spans="1:11" x14ac:dyDescent="0.2">
      <c r="B30" s="218" t="str">
        <f t="shared" si="0"/>
        <v/>
      </c>
      <c r="C30" s="219"/>
      <c r="D30" s="219"/>
      <c r="E30" s="220" t="str">
        <f>IF(D30=0,"",COUNTIFS('Raw Comps'!$J$3:$J$998,C30,'Raw Comps'!$K$3:$K$998,D30))</f>
        <v/>
      </c>
      <c r="F30" s="341"/>
      <c r="G30" s="221" t="str">
        <f>IFERROR(AVERAGEIFS('Raw Comps'!$L$3:$L$998,'Raw Comps'!$J$3:$J$998,C30,'Raw Comps'!$K$3:$K$998,D30),"")</f>
        <v/>
      </c>
      <c r="H30" s="222" t="str">
        <f>IFERROR(AVERAGEIFS('Raw Comps'!$I$3:$I$998,'Raw Comps'!$J$3:$J$998,C30,'Raw Comps'!$K$3:$K$998,D30),"")</f>
        <v/>
      </c>
    </row>
    <row r="37" spans="2:2" x14ac:dyDescent="0.2">
      <c r="B37" s="326"/>
    </row>
  </sheetData>
  <dataValidations count="1">
    <dataValidation type="list" allowBlank="1" showInputMessage="1" showErrorMessage="1" sqref="B8:B14" xr:uid="{E2A8AB76-7018-8A43-89B8-83781A752C03}">
      <formula1>"Studio,1BR / 1BA,1BR / 2BA,2BR / 1BA,2BR / 2BA,3BR / 2BA,3BR / 3BA,4BR / 2BA,4BR / 3BA,5BR / 3BA,5BR / 5BA"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BE0-4C76-414B-8817-85DF3EBD11A7}">
  <dimension ref="B2:K99"/>
  <sheetViews>
    <sheetView workbookViewId="0">
      <selection activeCell="B17" sqref="B17"/>
    </sheetView>
  </sheetViews>
  <sheetFormatPr baseColWidth="10" defaultRowHeight="16" x14ac:dyDescent="0.2"/>
  <cols>
    <col min="1" max="1" width="3.1640625" customWidth="1"/>
    <col min="2" max="2" width="53.6640625" bestFit="1" customWidth="1"/>
    <col min="3" max="3" width="14.1640625" bestFit="1" customWidth="1"/>
    <col min="4" max="4" width="17.5" bestFit="1" customWidth="1"/>
    <col min="5" max="5" width="12.6640625" bestFit="1" customWidth="1"/>
    <col min="6" max="6" width="9.1640625" bestFit="1" customWidth="1"/>
    <col min="7" max="7" width="10.33203125" bestFit="1" customWidth="1"/>
    <col min="8" max="9" width="20.83203125" customWidth="1"/>
  </cols>
  <sheetData>
    <row r="2" spans="2:11" ht="21" x14ac:dyDescent="0.25">
      <c r="B2" s="27" t="s">
        <v>63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2">
      <c r="B3" s="28" t="s">
        <v>102</v>
      </c>
      <c r="C3" s="4"/>
      <c r="D3" s="4"/>
      <c r="E3" s="4"/>
      <c r="F3" s="4"/>
      <c r="G3" s="4"/>
      <c r="H3" s="4"/>
      <c r="I3" s="4"/>
      <c r="J3" s="4"/>
      <c r="K3" s="4"/>
    </row>
    <row r="4" spans="2:11" ht="17" customHeight="1" x14ac:dyDescent="0.2">
      <c r="B4" s="4"/>
      <c r="C4" s="4"/>
      <c r="D4" s="4"/>
      <c r="E4" s="4"/>
      <c r="F4" s="4"/>
      <c r="G4" s="4"/>
      <c r="H4" s="4"/>
      <c r="I4" s="4"/>
      <c r="J4" s="4"/>
      <c r="K4" s="4"/>
    </row>
    <row r="5" spans="2:11" ht="22" customHeight="1" x14ac:dyDescent="0.2">
      <c r="B5" s="7" t="s">
        <v>0</v>
      </c>
      <c r="C5" s="7"/>
      <c r="D5" s="7"/>
      <c r="E5" s="7"/>
      <c r="F5" s="7"/>
      <c r="G5" s="7"/>
      <c r="H5" s="7"/>
      <c r="I5" s="7"/>
      <c r="J5" s="4"/>
      <c r="K5" s="4"/>
    </row>
    <row r="6" spans="2:11" ht="18" customHeight="1" x14ac:dyDescent="0.2">
      <c r="B6" s="32" t="s">
        <v>103</v>
      </c>
      <c r="C6" s="175" t="s">
        <v>1</v>
      </c>
      <c r="D6" s="32" t="s">
        <v>233</v>
      </c>
      <c r="E6" s="175">
        <v>20</v>
      </c>
      <c r="F6" s="32"/>
      <c r="G6" s="32"/>
      <c r="H6" s="32"/>
      <c r="I6" s="32"/>
      <c r="J6" s="4"/>
      <c r="K6" s="4"/>
    </row>
    <row r="7" spans="2:11" ht="18" customHeight="1" x14ac:dyDescent="0.2">
      <c r="B7" s="4" t="s">
        <v>104</v>
      </c>
      <c r="C7" s="176">
        <v>12500000</v>
      </c>
      <c r="D7" s="4"/>
      <c r="E7" s="4"/>
      <c r="F7" s="4"/>
      <c r="G7" s="4"/>
      <c r="H7" s="4"/>
      <c r="I7" s="4"/>
      <c r="J7" s="4"/>
      <c r="K7" s="4"/>
    </row>
    <row r="8" spans="2:11" ht="18" customHeight="1" x14ac:dyDescent="0.2">
      <c r="B8" s="32" t="s">
        <v>105</v>
      </c>
      <c r="C8" s="177">
        <v>0.02</v>
      </c>
      <c r="D8" s="32"/>
      <c r="E8" s="32"/>
      <c r="F8" s="32"/>
      <c r="G8" s="32"/>
      <c r="H8" s="32"/>
      <c r="I8" s="32"/>
      <c r="J8" s="4"/>
      <c r="K8" s="4"/>
    </row>
    <row r="9" spans="2:11" ht="18" customHeight="1" x14ac:dyDescent="0.2">
      <c r="B9" s="4" t="s">
        <v>106</v>
      </c>
      <c r="C9" s="178">
        <f>C7*C8</f>
        <v>250000</v>
      </c>
      <c r="D9" s="4"/>
      <c r="E9" s="4"/>
      <c r="F9" s="4"/>
      <c r="G9" s="4"/>
      <c r="H9" s="4"/>
      <c r="I9" s="4"/>
      <c r="J9" s="4"/>
      <c r="K9" s="4"/>
    </row>
    <row r="10" spans="2:11" ht="18" customHeight="1" x14ac:dyDescent="0.2">
      <c r="B10" s="114" t="s">
        <v>107</v>
      </c>
      <c r="C10" s="179">
        <f>C7+C9</f>
        <v>12750000</v>
      </c>
      <c r="D10" s="32"/>
      <c r="E10" s="32"/>
      <c r="F10" s="32"/>
      <c r="G10" s="32"/>
      <c r="H10" s="32"/>
      <c r="I10" s="32"/>
      <c r="J10" s="4"/>
      <c r="K10" s="4"/>
    </row>
    <row r="11" spans="2:11" x14ac:dyDescent="0.2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ht="22" customHeight="1" x14ac:dyDescent="0.2">
      <c r="B12" s="7" t="s">
        <v>108</v>
      </c>
      <c r="C12" s="7"/>
      <c r="D12" s="7"/>
      <c r="E12" s="7"/>
      <c r="F12" s="7"/>
      <c r="G12" s="7"/>
      <c r="H12" s="7"/>
      <c r="I12" s="7"/>
      <c r="J12" s="4"/>
      <c r="K12" s="4"/>
    </row>
    <row r="13" spans="2:11" ht="20" customHeight="1" thickBot="1" x14ac:dyDescent="0.25">
      <c r="B13" s="115" t="s">
        <v>221</v>
      </c>
      <c r="C13" s="17" t="s">
        <v>225</v>
      </c>
      <c r="D13" s="342" t="s">
        <v>222</v>
      </c>
      <c r="E13" s="344" t="s">
        <v>111</v>
      </c>
      <c r="F13" s="344" t="s">
        <v>229</v>
      </c>
      <c r="G13" s="346" t="s">
        <v>230</v>
      </c>
      <c r="H13" s="343" t="s">
        <v>226</v>
      </c>
      <c r="I13" s="17" t="s">
        <v>228</v>
      </c>
      <c r="J13" s="4"/>
      <c r="K13" s="4"/>
    </row>
    <row r="14" spans="2:11" ht="18" customHeight="1" x14ac:dyDescent="0.2">
      <c r="B14" s="120" t="s">
        <v>223</v>
      </c>
      <c r="C14" s="327" t="str">
        <f>IFERROR(AVERAGEIF('Rent Assumptions'!$B$8:$B$30,$B14,'Rent Assumptions'!$H$8:$H$30),"")</f>
        <v/>
      </c>
      <c r="D14" s="364">
        <f t="shared" ref="D14:D20" si="0">IF(B14&lt;&gt;"", E$6/COUNTA(B$14:B$20), "")</f>
        <v>6.666666666666667</v>
      </c>
      <c r="E14" s="347" t="str">
        <f>IFERROR(AVERAGEIF('Rent Assumptions'!$B$8:$B$30,$B14,'Rent Assumptions'!$G$8:$G$30),"")</f>
        <v/>
      </c>
      <c r="F14" s="348" t="str">
        <f t="shared" ref="F14:F20" si="1">IFERROR(C14/E14,"")</f>
        <v/>
      </c>
      <c r="G14" s="350" t="str">
        <f t="shared" ref="G14:G20" si="2">IFERROR(E14*D14,"")</f>
        <v/>
      </c>
      <c r="H14" s="345" t="str">
        <f>IFERROR(C14*D14,"")</f>
        <v/>
      </c>
      <c r="I14" s="328" t="str">
        <f>IFERROR(H14*12,"")</f>
        <v/>
      </c>
      <c r="J14" s="4"/>
      <c r="K14" s="4"/>
    </row>
    <row r="15" spans="2:11" ht="18" customHeight="1" x14ac:dyDescent="0.2">
      <c r="B15" s="121" t="s">
        <v>223</v>
      </c>
      <c r="C15" s="329" t="str">
        <f>IFERROR(AVERAGEIF('Rent Assumptions'!$B$8:$B$30,$B15,'Rent Assumptions'!$H$8:$H$30),"")</f>
        <v/>
      </c>
      <c r="D15" s="365">
        <f t="shared" si="0"/>
        <v>6.666666666666667</v>
      </c>
      <c r="E15" s="351" t="str">
        <f>IFERROR(AVERAGEIF('Rent Assumptions'!$B$8:$B$30,$B15,'Rent Assumptions'!$G$8:$G$30),"")</f>
        <v/>
      </c>
      <c r="F15" s="352" t="str">
        <f t="shared" si="1"/>
        <v/>
      </c>
      <c r="G15" s="354" t="str">
        <f t="shared" si="2"/>
        <v/>
      </c>
      <c r="H15" s="349" t="str">
        <f t="shared" ref="H15:H20" si="3">IFERROR(C15*D15,"")</f>
        <v/>
      </c>
      <c r="I15" s="330" t="str">
        <f t="shared" ref="I15:I20" si="4">IFERROR(H15*12,"")</f>
        <v/>
      </c>
      <c r="J15" s="4"/>
      <c r="K15" s="4"/>
    </row>
    <row r="16" spans="2:11" ht="18" customHeight="1" x14ac:dyDescent="0.2">
      <c r="B16" s="122" t="s">
        <v>224</v>
      </c>
      <c r="C16" s="331" t="str">
        <f>IFERROR(AVERAGEIF('Rent Assumptions'!$B$8:$B$30,$B16,'Rent Assumptions'!$H$8:$H$30),"")</f>
        <v/>
      </c>
      <c r="D16" s="366">
        <f t="shared" si="0"/>
        <v>6.666666666666667</v>
      </c>
      <c r="E16" s="355" t="str">
        <f>IFERROR(AVERAGEIF('Rent Assumptions'!$B$8:$B$30,$B16,'Rent Assumptions'!$G$8:$G$30),"")</f>
        <v/>
      </c>
      <c r="F16" s="356" t="str">
        <f t="shared" si="1"/>
        <v/>
      </c>
      <c r="G16" s="357" t="str">
        <f t="shared" si="2"/>
        <v/>
      </c>
      <c r="H16" s="353" t="str">
        <f t="shared" si="3"/>
        <v/>
      </c>
      <c r="I16" s="332" t="str">
        <f t="shared" si="4"/>
        <v/>
      </c>
      <c r="J16" s="4"/>
      <c r="K16" s="4"/>
    </row>
    <row r="17" spans="2:11" ht="18" customHeight="1" x14ac:dyDescent="0.2">
      <c r="B17" s="121"/>
      <c r="C17" s="329" t="str">
        <f>IFERROR(AVERAGEIF('Rent Assumptions'!$B$8:$B$30,$B17,'Rent Assumptions'!$H$8:$H$30),"")</f>
        <v/>
      </c>
      <c r="D17" s="365" t="str">
        <f t="shared" si="0"/>
        <v/>
      </c>
      <c r="E17" s="351" t="str">
        <f>IFERROR(AVERAGEIF('Rent Assumptions'!$B$8:$B$30,$B17,'Rent Assumptions'!$G$8:$G$30),"")</f>
        <v/>
      </c>
      <c r="F17" s="352" t="str">
        <f t="shared" si="1"/>
        <v/>
      </c>
      <c r="G17" s="354" t="str">
        <f t="shared" si="2"/>
        <v/>
      </c>
      <c r="H17" s="349" t="str">
        <f t="shared" si="3"/>
        <v/>
      </c>
      <c r="I17" s="330" t="str">
        <f t="shared" si="4"/>
        <v/>
      </c>
      <c r="J17" s="4"/>
      <c r="K17" s="4"/>
    </row>
    <row r="18" spans="2:11" x14ac:dyDescent="0.2">
      <c r="B18" s="122"/>
      <c r="C18" s="331" t="str">
        <f>IFERROR(AVERAGEIF('Rent Assumptions'!$B$8:$B$30,$B18,'Rent Assumptions'!$H$8:$H$30),"")</f>
        <v/>
      </c>
      <c r="D18" s="366" t="str">
        <f t="shared" si="0"/>
        <v/>
      </c>
      <c r="E18" s="355" t="str">
        <f>IFERROR(AVERAGEIF('Rent Assumptions'!$B$8:$B$30,$B18,'Rent Assumptions'!$G$8:$G$30),"")</f>
        <v/>
      </c>
      <c r="F18" s="356" t="str">
        <f t="shared" si="1"/>
        <v/>
      </c>
      <c r="G18" s="357" t="str">
        <f t="shared" si="2"/>
        <v/>
      </c>
      <c r="H18" s="353" t="str">
        <f t="shared" si="3"/>
        <v/>
      </c>
      <c r="I18" s="332" t="str">
        <f t="shared" si="4"/>
        <v/>
      </c>
      <c r="J18" s="4"/>
      <c r="K18" s="4"/>
    </row>
    <row r="19" spans="2:11" x14ac:dyDescent="0.2">
      <c r="B19" s="121"/>
      <c r="C19" s="329" t="str">
        <f>IFERROR(AVERAGEIF('Rent Assumptions'!$B$8:$B$30,$B19,'Rent Assumptions'!$H$8:$H$30),"")</f>
        <v/>
      </c>
      <c r="D19" s="365" t="str">
        <f t="shared" si="0"/>
        <v/>
      </c>
      <c r="E19" s="351" t="str">
        <f>IFERROR(AVERAGEIF('Rent Assumptions'!$B$8:$B$30,$B19,'Rent Assumptions'!$G$8:$G$30),"")</f>
        <v/>
      </c>
      <c r="F19" s="352" t="str">
        <f t="shared" si="1"/>
        <v/>
      </c>
      <c r="G19" s="354" t="str">
        <f t="shared" si="2"/>
        <v/>
      </c>
      <c r="H19" s="349" t="str">
        <f t="shared" si="3"/>
        <v/>
      </c>
      <c r="I19" s="330" t="str">
        <f t="shared" si="4"/>
        <v/>
      </c>
      <c r="J19" s="4"/>
      <c r="K19" s="4"/>
    </row>
    <row r="20" spans="2:11" ht="18" customHeight="1" thickBot="1" x14ac:dyDescent="0.25">
      <c r="B20" s="123"/>
      <c r="C20" s="333" t="str">
        <f>IFERROR(AVERAGEIF('Rent Assumptions'!$B$8:$B$30,$B20,'Rent Assumptions'!$H$8:$H$30),"")</f>
        <v/>
      </c>
      <c r="D20" s="367" t="str">
        <f t="shared" si="0"/>
        <v/>
      </c>
      <c r="E20" s="355" t="str">
        <f>IFERROR(AVERAGEIF('Rent Assumptions'!$B$8:$B$30,$B20,'Rent Assumptions'!$G$8:$G$30),"")</f>
        <v/>
      </c>
      <c r="F20" s="356" t="str">
        <f t="shared" si="1"/>
        <v/>
      </c>
      <c r="G20" s="357" t="str">
        <f t="shared" si="2"/>
        <v/>
      </c>
      <c r="H20" s="358" t="str">
        <f t="shared" si="3"/>
        <v/>
      </c>
      <c r="I20" s="334" t="str">
        <f t="shared" si="4"/>
        <v/>
      </c>
      <c r="J20" s="4"/>
      <c r="K20" s="4"/>
    </row>
    <row r="21" spans="2:11" ht="20" customHeight="1" x14ac:dyDescent="0.2">
      <c r="B21" s="18"/>
      <c r="C21" s="19"/>
      <c r="D21" s="359">
        <f>SUM(D14:D20)</f>
        <v>20</v>
      </c>
      <c r="E21" s="361">
        <f>IFERROR(SUMPRODUCT(E14:E20,D14:D20)/SUM(D14:D20),"")</f>
        <v>0</v>
      </c>
      <c r="F21" s="362" t="str">
        <f>IFERROR(H21/(E21*D21),"")</f>
        <v/>
      </c>
      <c r="G21" s="360">
        <f>SUM(G14:G20)</f>
        <v>0</v>
      </c>
      <c r="H21" s="363">
        <f>SUM(H14:H20)</f>
        <v>0</v>
      </c>
      <c r="I21" s="20">
        <f>SUM(I14:I20)</f>
        <v>0</v>
      </c>
      <c r="J21" s="4"/>
      <c r="K21" s="4"/>
    </row>
    <row r="22" spans="2:1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ht="18" customHeight="1" x14ac:dyDescent="0.2">
      <c r="B23" s="21" t="s">
        <v>122</v>
      </c>
      <c r="C23" s="22">
        <f>D21</f>
        <v>20</v>
      </c>
      <c r="D23" s="4"/>
      <c r="E23" s="4"/>
      <c r="F23" s="4"/>
      <c r="G23" s="4"/>
      <c r="H23" s="4"/>
      <c r="I23" s="4"/>
      <c r="J23" s="4"/>
      <c r="K23" s="4"/>
    </row>
    <row r="24" spans="2:11" ht="18" customHeight="1" x14ac:dyDescent="0.2">
      <c r="B24" s="23" t="s">
        <v>123</v>
      </c>
      <c r="C24" s="116">
        <f>I21</f>
        <v>0</v>
      </c>
      <c r="D24" s="32"/>
      <c r="E24" s="32"/>
      <c r="F24" s="32"/>
      <c r="G24" s="32"/>
      <c r="H24" s="32"/>
      <c r="I24" s="32"/>
      <c r="J24" s="4"/>
      <c r="K24" s="4"/>
    </row>
    <row r="25" spans="2:11" x14ac:dyDescent="0.2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ht="22" customHeight="1" x14ac:dyDescent="0.2">
      <c r="B26" s="396" t="s">
        <v>274</v>
      </c>
      <c r="C26" s="396"/>
      <c r="D26" s="396"/>
      <c r="E26" s="396"/>
      <c r="F26" s="396"/>
      <c r="G26" s="396"/>
      <c r="H26" s="396"/>
      <c r="I26" s="396"/>
      <c r="J26" s="4"/>
      <c r="K26" s="4"/>
    </row>
    <row r="27" spans="2:11" ht="22" customHeight="1" x14ac:dyDescent="0.2">
      <c r="B27" s="99" t="s">
        <v>275</v>
      </c>
      <c r="C27" s="398">
        <v>1000000</v>
      </c>
      <c r="D27" s="402" t="str">
        <f>IF(C27=0,"Enter total above",IF(E35=C27,"✓ Balanced","⚠ Unallocated: "&amp;TEXT(C27-E35,"$#,##0")))</f>
        <v>⚠ Unallocated: $1,000,000</v>
      </c>
      <c r="E27" s="397"/>
      <c r="F27" s="397"/>
      <c r="G27" s="397"/>
      <c r="H27" s="397"/>
      <c r="I27" s="397"/>
      <c r="J27" s="4"/>
      <c r="K27" s="4"/>
    </row>
    <row r="28" spans="2:11" ht="22" customHeight="1" x14ac:dyDescent="0.2">
      <c r="B28" s="7"/>
      <c r="C28" s="7"/>
      <c r="D28" s="7"/>
      <c r="E28" s="7"/>
      <c r="F28" s="7"/>
      <c r="G28" s="7"/>
      <c r="H28" s="7"/>
      <c r="I28" s="7"/>
      <c r="J28" s="4"/>
      <c r="K28" s="4"/>
    </row>
    <row r="29" spans="2:11" ht="22" customHeight="1" x14ac:dyDescent="0.2">
      <c r="B29" s="400" t="s">
        <v>24</v>
      </c>
      <c r="C29" s="8" t="s">
        <v>230</v>
      </c>
      <c r="D29" s="8" t="s">
        <v>279</v>
      </c>
      <c r="E29" s="8" t="s">
        <v>280</v>
      </c>
      <c r="F29" s="8" t="s">
        <v>277</v>
      </c>
      <c r="G29" s="8" t="s">
        <v>276</v>
      </c>
      <c r="H29" s="399"/>
      <c r="I29" s="399"/>
      <c r="J29" s="4"/>
      <c r="K29" s="4"/>
    </row>
    <row r="30" spans="2:11" ht="22" customHeight="1" x14ac:dyDescent="0.2">
      <c r="B30" s="403" t="str">
        <f>IF(B14&lt;&gt;"","  "&amp;B14,"")</f>
        <v xml:space="preserve">  1BR/2BA</v>
      </c>
      <c r="C30" s="404" t="str">
        <f>IFERROR(G14,"")</f>
        <v/>
      </c>
      <c r="D30" s="405" t="str">
        <f>IFERROR(C30/C$35,"")</f>
        <v/>
      </c>
      <c r="E30" s="406" t="str">
        <f>IFERROR(C$27*D30,"")</f>
        <v/>
      </c>
      <c r="F30" s="407" t="str">
        <f>IFERROR(E30/C30,"")</f>
        <v/>
      </c>
      <c r="G30" s="406" t="str">
        <f>IFERROR(E30/D14,"")</f>
        <v/>
      </c>
      <c r="H30" s="397"/>
      <c r="I30" s="397"/>
      <c r="J30" s="4"/>
      <c r="K30" s="4"/>
    </row>
    <row r="31" spans="2:11" ht="22" customHeight="1" x14ac:dyDescent="0.2">
      <c r="B31" s="403" t="str">
        <f>IF(B15&lt;&gt;"","  "&amp;B15,"")</f>
        <v xml:space="preserve">  1BR/2BA</v>
      </c>
      <c r="C31" s="404" t="str">
        <f>IFERROR(G15,"")</f>
        <v/>
      </c>
      <c r="D31" s="405" t="str">
        <f>IFERROR(C31/C$35,"")</f>
        <v/>
      </c>
      <c r="E31" s="406" t="str">
        <f>IFERROR(C$27*D31,"")</f>
        <v/>
      </c>
      <c r="F31" s="407" t="str">
        <f>IFERROR(E31/C31,"")</f>
        <v/>
      </c>
      <c r="G31" s="406" t="str">
        <f>IFERROR(E31/D15,"")</f>
        <v/>
      </c>
      <c r="H31" s="397"/>
      <c r="I31" s="397"/>
      <c r="J31" s="4"/>
      <c r="K31" s="4"/>
    </row>
    <row r="32" spans="2:11" ht="22" customHeight="1" x14ac:dyDescent="0.2">
      <c r="B32" s="403" t="str">
        <f>IF(B16&lt;&gt;"","  "&amp;B16,"")</f>
        <v xml:space="preserve">  1BR/1BA</v>
      </c>
      <c r="C32" s="404" t="str">
        <f>IFERROR(G16,"")</f>
        <v/>
      </c>
      <c r="D32" s="405" t="str">
        <f>IFERROR(C32/C$35,"")</f>
        <v/>
      </c>
      <c r="E32" s="406" t="str">
        <f>IFERROR(C$27*D32,"")</f>
        <v/>
      </c>
      <c r="F32" s="407" t="str">
        <f>IFERROR(E32/C32,"")</f>
        <v/>
      </c>
      <c r="G32" s="406" t="str">
        <f>IFERROR(E32/D16,"")</f>
        <v/>
      </c>
      <c r="H32" s="397"/>
      <c r="I32" s="397"/>
      <c r="J32" s="4"/>
      <c r="K32" s="4"/>
    </row>
    <row r="33" spans="2:11" ht="22" customHeight="1" x14ac:dyDescent="0.2">
      <c r="B33" s="403" t="str">
        <f>IF(B17&lt;&gt;"","  "&amp;B17,"")</f>
        <v/>
      </c>
      <c r="C33" s="404" t="str">
        <f>IFERROR(G17,"")</f>
        <v/>
      </c>
      <c r="D33" s="405" t="str">
        <f>IFERROR(C33/C$35,"")</f>
        <v/>
      </c>
      <c r="E33" s="406" t="str">
        <f>IFERROR(C$27*D33,"")</f>
        <v/>
      </c>
      <c r="F33" s="407" t="str">
        <f>IFERROR(E33/C33,"")</f>
        <v/>
      </c>
      <c r="G33" s="406" t="str">
        <f>IFERROR(E33/D17,"")</f>
        <v/>
      </c>
      <c r="H33" s="397"/>
      <c r="I33" s="397"/>
      <c r="J33" s="4"/>
      <c r="K33" s="4"/>
    </row>
    <row r="34" spans="2:11" ht="22" customHeight="1" x14ac:dyDescent="0.2">
      <c r="B34" s="403" t="str">
        <f>IF(B18&lt;&gt;"","  "&amp;B18,"")</f>
        <v/>
      </c>
      <c r="C34" s="404" t="str">
        <f>IFERROR(G18,"")</f>
        <v/>
      </c>
      <c r="D34" s="405" t="str">
        <f>IFERROR(C34/C$35,"")</f>
        <v/>
      </c>
      <c r="E34" s="406" t="str">
        <f>IFERROR(C$27*D34,"")</f>
        <v/>
      </c>
      <c r="F34" s="407" t="str">
        <f>IFERROR(E34/C34,"")</f>
        <v/>
      </c>
      <c r="G34" s="406" t="str">
        <f>IFERROR(E34/D18,"")</f>
        <v/>
      </c>
      <c r="H34" s="397"/>
      <c r="I34" s="397"/>
      <c r="J34" s="4"/>
      <c r="K34" s="4"/>
    </row>
    <row r="35" spans="2:11" ht="18" customHeight="1" x14ac:dyDescent="0.2">
      <c r="B35" s="408" t="s">
        <v>278</v>
      </c>
      <c r="C35" s="409">
        <f>SUM(C30:C34)</f>
        <v>0</v>
      </c>
      <c r="D35" s="410">
        <f>SUM(D30:D32)</f>
        <v>0</v>
      </c>
      <c r="E35" s="411">
        <f>SUM(E30:E32)</f>
        <v>0</v>
      </c>
      <c r="F35" s="412" t="str">
        <f>IFERROR(C27/C35,"")</f>
        <v/>
      </c>
      <c r="G35" s="411">
        <f>IFERROR(C27/C23,"")</f>
        <v>50000</v>
      </c>
      <c r="H35" s="401"/>
      <c r="I35" s="401"/>
      <c r="J35" s="4"/>
      <c r="K35" s="4"/>
    </row>
    <row r="36" spans="2:11" ht="18" customHeight="1" x14ac:dyDescent="0.2">
      <c r="J36" s="4"/>
      <c r="K36" s="4"/>
    </row>
    <row r="37" spans="2:11" x14ac:dyDescent="0.2">
      <c r="J37" s="4"/>
      <c r="K37" s="4"/>
    </row>
    <row r="38" spans="2:11" ht="22" customHeight="1" x14ac:dyDescent="0.2">
      <c r="B38" s="7" t="s">
        <v>3</v>
      </c>
      <c r="C38" s="7"/>
      <c r="D38" s="7"/>
      <c r="E38" s="7"/>
      <c r="F38" s="7"/>
      <c r="G38" s="7"/>
      <c r="H38" s="7"/>
      <c r="I38" s="7"/>
      <c r="J38" s="4"/>
      <c r="K38" s="4"/>
    </row>
    <row r="39" spans="2:11" ht="18" customHeight="1" x14ac:dyDescent="0.2">
      <c r="B39" s="4" t="s">
        <v>66</v>
      </c>
      <c r="C39" s="38">
        <v>7.0000000000000007E-2</v>
      </c>
      <c r="D39" s="4"/>
      <c r="E39" s="4"/>
      <c r="F39" s="4"/>
      <c r="G39" s="4"/>
      <c r="H39" s="4"/>
      <c r="I39" s="4"/>
      <c r="J39" s="4"/>
      <c r="K39" s="4"/>
    </row>
    <row r="40" spans="2:11" ht="18" customHeight="1" x14ac:dyDescent="0.2">
      <c r="B40" s="32" t="s">
        <v>67</v>
      </c>
      <c r="C40" s="37">
        <v>75</v>
      </c>
      <c r="D40" s="32"/>
      <c r="E40" s="32"/>
      <c r="F40" s="32"/>
      <c r="G40" s="32"/>
      <c r="H40" s="32"/>
      <c r="I40" s="32"/>
      <c r="J40" s="4"/>
      <c r="K40" s="4"/>
    </row>
    <row r="41" spans="2:11" x14ac:dyDescent="0.2"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2:11" ht="22" customHeight="1" x14ac:dyDescent="0.2">
      <c r="B42" s="7" t="s">
        <v>4</v>
      </c>
      <c r="C42" s="7"/>
      <c r="D42" s="7"/>
      <c r="E42" s="7"/>
      <c r="F42" s="7"/>
      <c r="G42" s="7"/>
      <c r="H42" s="7"/>
      <c r="I42" s="7"/>
      <c r="J42" s="4"/>
      <c r="K42" s="4"/>
    </row>
    <row r="43" spans="2:11" ht="18" customHeight="1" x14ac:dyDescent="0.2">
      <c r="B43" s="99" t="s">
        <v>231</v>
      </c>
      <c r="C43" s="35">
        <v>0.35</v>
      </c>
      <c r="D43" s="4"/>
      <c r="E43" s="4"/>
      <c r="F43" s="4"/>
      <c r="G43" s="4"/>
      <c r="H43" s="4"/>
      <c r="I43" s="4"/>
      <c r="J43" s="4"/>
      <c r="K43" s="4"/>
    </row>
    <row r="44" spans="2:11" ht="18" customHeight="1" x14ac:dyDescent="0.2">
      <c r="B44" s="12" t="s">
        <v>73</v>
      </c>
      <c r="C44" s="38">
        <v>0.03</v>
      </c>
      <c r="D44" s="32"/>
      <c r="E44" s="32"/>
      <c r="F44" s="32"/>
      <c r="G44" s="32"/>
      <c r="H44" s="32"/>
      <c r="I44" s="32"/>
      <c r="J44" s="4"/>
      <c r="K44" s="4"/>
    </row>
    <row r="45" spans="2:11" ht="18" customHeight="1" x14ac:dyDescent="0.2">
      <c r="B45" s="4"/>
      <c r="C45" s="38"/>
      <c r="D45" s="4"/>
      <c r="E45" s="4"/>
      <c r="F45" s="4"/>
      <c r="G45" s="4"/>
      <c r="H45" s="4"/>
      <c r="I45" s="4"/>
      <c r="J45" s="4"/>
      <c r="K45" s="4"/>
    </row>
    <row r="46" spans="2:11" ht="18" customHeight="1" x14ac:dyDescent="0.2">
      <c r="B46" s="32"/>
      <c r="C46" s="37"/>
      <c r="D46" s="32"/>
      <c r="E46" s="32"/>
      <c r="F46" s="32"/>
      <c r="G46" s="32"/>
      <c r="H46" s="32"/>
      <c r="I46" s="32"/>
      <c r="J46" s="4"/>
      <c r="K46" s="4"/>
    </row>
    <row r="47" spans="2:11" ht="18" customHeight="1" x14ac:dyDescent="0.2">
      <c r="B47" s="4"/>
      <c r="C47" s="36"/>
      <c r="D47" s="4"/>
      <c r="E47" s="4"/>
      <c r="F47" s="4"/>
      <c r="G47" s="4"/>
      <c r="H47" s="4"/>
      <c r="I47" s="4"/>
      <c r="J47" s="4"/>
      <c r="K47" s="4"/>
    </row>
    <row r="48" spans="2:11" ht="18" customHeight="1" x14ac:dyDescent="0.2">
      <c r="B48" s="32"/>
      <c r="C48" s="35"/>
      <c r="D48" s="32"/>
      <c r="E48" s="32"/>
      <c r="F48" s="32"/>
      <c r="G48" s="32"/>
      <c r="H48" s="32"/>
      <c r="I48" s="32"/>
      <c r="J48" s="4"/>
      <c r="K48" s="4"/>
    </row>
    <row r="49" spans="2:11" x14ac:dyDescent="0.2"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2:11" ht="22" customHeight="1" x14ac:dyDescent="0.2">
      <c r="B50" s="7" t="s">
        <v>5</v>
      </c>
      <c r="C50" s="7"/>
      <c r="D50" s="7"/>
      <c r="E50" s="7"/>
      <c r="F50" s="7"/>
      <c r="G50" s="7"/>
      <c r="H50" s="7"/>
      <c r="I50" s="7"/>
      <c r="J50" s="4"/>
      <c r="K50" s="4"/>
    </row>
    <row r="51" spans="2:11" ht="18" customHeight="1" x14ac:dyDescent="0.2">
      <c r="B51" s="4" t="s">
        <v>74</v>
      </c>
      <c r="C51" s="117" t="s">
        <v>6</v>
      </c>
      <c r="D51" s="4"/>
      <c r="E51" s="4"/>
      <c r="F51" s="4"/>
      <c r="G51" s="4"/>
      <c r="H51" s="4"/>
      <c r="I51" s="4"/>
      <c r="J51" s="4"/>
      <c r="K51" s="4"/>
    </row>
    <row r="52" spans="2:11" ht="18" customHeight="1" x14ac:dyDescent="0.2">
      <c r="B52" s="32" t="s">
        <v>75</v>
      </c>
      <c r="C52" s="35">
        <v>0.7</v>
      </c>
      <c r="D52" s="32"/>
      <c r="E52" s="32"/>
      <c r="F52" s="32"/>
      <c r="G52" s="32"/>
      <c r="H52" s="32"/>
      <c r="I52" s="32"/>
      <c r="J52" s="4"/>
      <c r="K52" s="4"/>
    </row>
    <row r="53" spans="2:11" ht="18" customHeight="1" x14ac:dyDescent="0.2">
      <c r="B53" s="5" t="s">
        <v>76</v>
      </c>
      <c r="C53" s="15">
        <f>C7*C52</f>
        <v>8750000</v>
      </c>
      <c r="D53" s="4"/>
      <c r="E53" s="4"/>
      <c r="F53" s="4"/>
      <c r="G53" s="4"/>
      <c r="H53" s="4"/>
      <c r="I53" s="4"/>
      <c r="J53" s="4"/>
      <c r="K53" s="4"/>
    </row>
    <row r="54" spans="2:11" ht="18" customHeight="1" x14ac:dyDescent="0.2">
      <c r="B54" s="32" t="s">
        <v>77</v>
      </c>
      <c r="C54" s="118">
        <v>6.5000000000000002E-2</v>
      </c>
      <c r="D54" s="32"/>
      <c r="E54" s="32"/>
      <c r="F54" s="32"/>
      <c r="G54" s="32"/>
      <c r="H54" s="32"/>
      <c r="I54" s="32"/>
      <c r="J54" s="4"/>
      <c r="K54" s="4"/>
    </row>
    <row r="55" spans="2:11" ht="18" customHeight="1" x14ac:dyDescent="0.2">
      <c r="B55" s="4" t="s">
        <v>78</v>
      </c>
      <c r="C55" s="119">
        <v>24</v>
      </c>
      <c r="D55" s="4"/>
      <c r="E55" s="4"/>
      <c r="F55" s="4"/>
      <c r="G55" s="4"/>
      <c r="H55" s="4"/>
      <c r="I55" s="4"/>
      <c r="J55" s="4"/>
      <c r="K55" s="4"/>
    </row>
    <row r="56" spans="2:11" ht="18" customHeight="1" x14ac:dyDescent="0.2">
      <c r="B56" s="32" t="s">
        <v>79</v>
      </c>
      <c r="C56" s="31">
        <v>30</v>
      </c>
      <c r="D56" s="32"/>
      <c r="E56" s="32"/>
      <c r="F56" s="32"/>
      <c r="G56" s="32"/>
      <c r="H56" s="32"/>
      <c r="I56" s="32"/>
      <c r="J56" s="4"/>
      <c r="K56" s="4"/>
    </row>
    <row r="57" spans="2:11" ht="18" customHeight="1" x14ac:dyDescent="0.2">
      <c r="B57" s="4" t="s">
        <v>80</v>
      </c>
      <c r="C57" s="119">
        <v>10</v>
      </c>
      <c r="D57" s="4"/>
      <c r="E57" s="4"/>
      <c r="F57" s="4"/>
      <c r="G57" s="4"/>
      <c r="H57" s="4"/>
      <c r="I57" s="4"/>
      <c r="J57" s="4"/>
      <c r="K57" s="4"/>
    </row>
    <row r="58" spans="2:11" ht="18" customHeight="1" x14ac:dyDescent="0.2">
      <c r="B58" s="32" t="s">
        <v>81</v>
      </c>
      <c r="C58" s="35">
        <v>0.01</v>
      </c>
      <c r="D58" s="32"/>
      <c r="E58" s="32"/>
      <c r="F58" s="32"/>
      <c r="G58" s="32"/>
      <c r="H58" s="32"/>
      <c r="I58" s="32"/>
      <c r="J58" s="4"/>
      <c r="K58" s="4"/>
    </row>
    <row r="59" spans="2:11" ht="18" customHeight="1" x14ac:dyDescent="0.2">
      <c r="B59" s="4" t="s">
        <v>82</v>
      </c>
      <c r="C59" s="14">
        <f>C53*C58</f>
        <v>87500</v>
      </c>
      <c r="D59" s="4"/>
      <c r="E59" s="4"/>
      <c r="F59" s="4"/>
      <c r="G59" s="4"/>
      <c r="H59" s="4"/>
      <c r="I59" s="4"/>
      <c r="J59" s="4"/>
      <c r="K59" s="4"/>
    </row>
    <row r="60" spans="2:11" x14ac:dyDescent="0.2"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2:11" ht="22" customHeight="1" x14ac:dyDescent="0.2">
      <c r="B61" s="7" t="s">
        <v>10</v>
      </c>
      <c r="C61" s="7"/>
      <c r="D61" s="7"/>
      <c r="E61" s="7"/>
      <c r="F61" s="7"/>
      <c r="G61" s="7"/>
      <c r="H61" s="7"/>
      <c r="I61" s="7"/>
      <c r="J61" s="4"/>
      <c r="K61" s="4"/>
    </row>
    <row r="62" spans="2:11" ht="18" customHeight="1" x14ac:dyDescent="0.2">
      <c r="B62" s="32" t="s">
        <v>83</v>
      </c>
      <c r="C62" s="31">
        <v>5</v>
      </c>
      <c r="D62" s="32"/>
      <c r="E62" s="32"/>
      <c r="F62" s="32"/>
      <c r="G62" s="32"/>
      <c r="H62" s="32"/>
      <c r="I62" s="32"/>
      <c r="J62" s="4"/>
      <c r="K62" s="4"/>
    </row>
    <row r="63" spans="2:11" ht="18" customHeight="1" x14ac:dyDescent="0.2">
      <c r="B63" s="4" t="s">
        <v>84</v>
      </c>
      <c r="C63" s="34">
        <v>0.06</v>
      </c>
      <c r="D63" s="4"/>
      <c r="E63" s="4"/>
      <c r="F63" s="4"/>
      <c r="G63" s="4"/>
      <c r="H63" s="4"/>
      <c r="I63" s="4"/>
      <c r="J63" s="4"/>
      <c r="K63" s="4"/>
    </row>
    <row r="64" spans="2:11" ht="18" customHeight="1" x14ac:dyDescent="0.2">
      <c r="B64" s="32" t="s">
        <v>85</v>
      </c>
      <c r="C64" s="35">
        <v>0.02</v>
      </c>
      <c r="D64" s="32"/>
      <c r="E64" s="32"/>
      <c r="F64" s="32"/>
      <c r="G64" s="32"/>
      <c r="H64" s="32"/>
      <c r="I64" s="32"/>
      <c r="J64" s="4"/>
      <c r="K64" s="4"/>
    </row>
    <row r="65" spans="2:11" x14ac:dyDescent="0.2"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2:11" ht="22" customHeight="1" x14ac:dyDescent="0.2">
      <c r="B66" s="7" t="s">
        <v>11</v>
      </c>
      <c r="C66" s="7"/>
      <c r="D66" s="7"/>
      <c r="E66" s="7"/>
      <c r="F66" s="7"/>
      <c r="G66" s="7"/>
      <c r="H66" s="7"/>
      <c r="I66" s="7"/>
      <c r="J66" s="4"/>
      <c r="K66" s="4"/>
    </row>
    <row r="67" spans="2:11" ht="18" customHeight="1" x14ac:dyDescent="0.2">
      <c r="B67" s="4" t="s">
        <v>86</v>
      </c>
      <c r="C67" s="38">
        <v>0.1</v>
      </c>
      <c r="D67" s="4"/>
      <c r="E67" s="4"/>
      <c r="F67" s="4"/>
      <c r="G67" s="4"/>
      <c r="H67" s="4"/>
      <c r="I67" s="4"/>
      <c r="J67" s="4"/>
      <c r="K67" s="4"/>
    </row>
    <row r="68" spans="2:11" ht="18" customHeight="1" x14ac:dyDescent="0.2">
      <c r="B68" s="32" t="s">
        <v>87</v>
      </c>
      <c r="C68" s="35">
        <v>0.08</v>
      </c>
      <c r="D68" s="32"/>
      <c r="E68" s="32"/>
      <c r="F68" s="32"/>
      <c r="G68" s="32"/>
      <c r="H68" s="32"/>
      <c r="I68" s="32"/>
      <c r="J68" s="4"/>
      <c r="K68" s="4"/>
    </row>
    <row r="69" spans="2:11" ht="18" customHeight="1" x14ac:dyDescent="0.2">
      <c r="B69" s="4" t="s">
        <v>88</v>
      </c>
      <c r="C69" s="38">
        <v>0.2</v>
      </c>
      <c r="D69" s="4"/>
      <c r="E69" s="4"/>
      <c r="F69" s="4"/>
      <c r="G69" s="4"/>
      <c r="H69" s="4"/>
      <c r="I69" s="4"/>
      <c r="J69" s="4"/>
      <c r="K69" s="4"/>
    </row>
    <row r="70" spans="2:11" x14ac:dyDescent="0.2"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2:11" ht="22" customHeight="1" x14ac:dyDescent="0.2">
      <c r="B71" s="7" t="s">
        <v>12</v>
      </c>
      <c r="C71" s="7"/>
      <c r="D71" s="7"/>
      <c r="E71" s="7"/>
      <c r="F71" s="7"/>
      <c r="G71" s="7"/>
      <c r="H71" s="7"/>
      <c r="I71" s="7"/>
      <c r="J71" s="4"/>
      <c r="K71" s="4"/>
    </row>
    <row r="72" spans="2:11" ht="18" customHeight="1" x14ac:dyDescent="0.2">
      <c r="B72" s="32" t="s">
        <v>89</v>
      </c>
      <c r="C72" s="35">
        <v>0.03</v>
      </c>
      <c r="D72" s="32"/>
      <c r="E72" s="32"/>
      <c r="F72" s="32"/>
      <c r="G72" s="32"/>
      <c r="H72" s="32"/>
      <c r="I72" s="32"/>
      <c r="J72" s="4"/>
      <c r="K72" s="4"/>
    </row>
    <row r="73" spans="2:11" ht="18" customHeight="1" x14ac:dyDescent="0.2">
      <c r="B73" s="4" t="s">
        <v>90</v>
      </c>
      <c r="C73" s="38">
        <v>0.03</v>
      </c>
      <c r="D73" s="4"/>
      <c r="E73" s="4"/>
      <c r="F73" s="4"/>
      <c r="G73" s="4"/>
      <c r="H73" s="4"/>
      <c r="I73" s="4"/>
      <c r="J73" s="4"/>
      <c r="K73" s="4"/>
    </row>
    <row r="74" spans="2:11" ht="18" customHeight="1" x14ac:dyDescent="0.2">
      <c r="B74" s="32" t="s">
        <v>91</v>
      </c>
      <c r="C74" s="35">
        <v>2.5000000000000001E-2</v>
      </c>
      <c r="D74" s="32"/>
      <c r="E74" s="32"/>
      <c r="F74" s="32"/>
      <c r="G74" s="32"/>
      <c r="H74" s="32"/>
      <c r="I74" s="32"/>
      <c r="J74" s="4"/>
      <c r="K74" s="4"/>
    </row>
    <row r="75" spans="2:11" ht="18" customHeight="1" x14ac:dyDescent="0.2">
      <c r="B75" s="4" t="s">
        <v>92</v>
      </c>
      <c r="C75" s="38">
        <v>2.5000000000000001E-2</v>
      </c>
      <c r="D75" s="4"/>
      <c r="E75" s="4"/>
      <c r="F75" s="4"/>
      <c r="G75" s="4"/>
      <c r="H75" s="4"/>
      <c r="I75" s="4"/>
      <c r="J75" s="4"/>
      <c r="K75" s="4"/>
    </row>
    <row r="76" spans="2:11" ht="18" customHeight="1" x14ac:dyDescent="0.2">
      <c r="B76" s="32" t="s">
        <v>93</v>
      </c>
      <c r="C76" s="35">
        <v>2.5000000000000001E-2</v>
      </c>
      <c r="D76" s="32"/>
      <c r="E76" s="32"/>
      <c r="F76" s="32"/>
      <c r="G76" s="32"/>
      <c r="H76" s="32"/>
      <c r="I76" s="32"/>
      <c r="J76" s="4"/>
      <c r="K76" s="4"/>
    </row>
    <row r="77" spans="2:11" ht="18" customHeight="1" x14ac:dyDescent="0.2">
      <c r="B77" s="4" t="s">
        <v>94</v>
      </c>
      <c r="C77" s="38">
        <v>0.02</v>
      </c>
      <c r="D77" s="4"/>
      <c r="E77" s="4"/>
      <c r="F77" s="4"/>
      <c r="G77" s="4"/>
      <c r="H77" s="4"/>
      <c r="I77" s="4"/>
      <c r="J77" s="4"/>
      <c r="K77" s="4"/>
    </row>
    <row r="78" spans="2:11" ht="18" customHeight="1" x14ac:dyDescent="0.2">
      <c r="B78" s="32" t="s">
        <v>95</v>
      </c>
      <c r="C78" s="35">
        <v>0.02</v>
      </c>
      <c r="D78" s="32"/>
      <c r="E78" s="32"/>
      <c r="F78" s="32"/>
      <c r="G78" s="32"/>
      <c r="H78" s="32"/>
      <c r="I78" s="32"/>
      <c r="J78" s="4"/>
      <c r="K78" s="4"/>
    </row>
    <row r="79" spans="2:11" ht="18" customHeight="1" x14ac:dyDescent="0.2">
      <c r="B79" s="4" t="s">
        <v>96</v>
      </c>
      <c r="C79" s="38">
        <v>0.02</v>
      </c>
      <c r="D79" s="4"/>
      <c r="E79" s="4"/>
      <c r="F79" s="4"/>
      <c r="G79" s="4"/>
      <c r="H79" s="4"/>
      <c r="I79" s="4"/>
      <c r="J79" s="4"/>
      <c r="K79" s="4"/>
    </row>
    <row r="80" spans="2:11" ht="18" customHeight="1" x14ac:dyDescent="0.2">
      <c r="B80" s="32" t="s">
        <v>97</v>
      </c>
      <c r="C80" s="35">
        <v>0.02</v>
      </c>
      <c r="D80" s="32"/>
      <c r="E80" s="32"/>
      <c r="F80" s="32"/>
      <c r="G80" s="32"/>
      <c r="H80" s="32"/>
      <c r="I80" s="32"/>
      <c r="J80" s="4"/>
      <c r="K80" s="4"/>
    </row>
    <row r="81" spans="2:11" ht="18" customHeight="1" x14ac:dyDescent="0.2">
      <c r="B81" s="4" t="s">
        <v>98</v>
      </c>
      <c r="C81" s="38">
        <v>0.02</v>
      </c>
      <c r="D81" s="4"/>
      <c r="E81" s="4"/>
      <c r="F81" s="4"/>
      <c r="G81" s="4"/>
      <c r="H81" s="4"/>
      <c r="I81" s="4"/>
      <c r="J81" s="4"/>
      <c r="K81" s="4"/>
    </row>
    <row r="82" spans="2:11" x14ac:dyDescent="0.2"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2:11" ht="22" customHeight="1" x14ac:dyDescent="0.2">
      <c r="B83" s="7" t="s">
        <v>23</v>
      </c>
      <c r="C83" s="7"/>
      <c r="D83" s="7"/>
      <c r="E83" s="7"/>
      <c r="F83" s="7"/>
      <c r="G83" s="7"/>
      <c r="H83" s="7"/>
      <c r="I83" s="7"/>
      <c r="J83" s="4"/>
      <c r="K83" s="4"/>
    </row>
    <row r="84" spans="2:11" ht="18" customHeight="1" x14ac:dyDescent="0.2">
      <c r="B84" s="13" t="s">
        <v>99</v>
      </c>
      <c r="C84" s="16">
        <f>C10+C36-C53+C59</f>
        <v>4087500</v>
      </c>
      <c r="D84" s="32"/>
      <c r="E84" s="32"/>
      <c r="F84" s="32"/>
      <c r="G84" s="32"/>
      <c r="H84" s="32"/>
      <c r="I84" s="32"/>
      <c r="J84" s="4"/>
      <c r="K84" s="4"/>
    </row>
    <row r="85" spans="2:11" ht="18" customHeight="1" x14ac:dyDescent="0.2">
      <c r="B85" s="9" t="s">
        <v>100</v>
      </c>
      <c r="C85" s="16">
        <f>C84*C67</f>
        <v>408750</v>
      </c>
      <c r="D85" s="4"/>
      <c r="E85" s="4"/>
      <c r="F85" s="4"/>
      <c r="G85" s="4"/>
      <c r="H85" s="4"/>
      <c r="I85" s="4"/>
      <c r="J85" s="4"/>
      <c r="K85" s="4"/>
    </row>
    <row r="86" spans="2:11" ht="18" customHeight="1" x14ac:dyDescent="0.2">
      <c r="B86" s="9" t="s">
        <v>101</v>
      </c>
      <c r="C86" s="16">
        <f>C84-C85</f>
        <v>3678750</v>
      </c>
      <c r="D86" s="32"/>
      <c r="E86" s="32"/>
      <c r="F86" s="32"/>
      <c r="G86" s="32"/>
      <c r="H86" s="32"/>
      <c r="I86" s="32"/>
      <c r="J86" s="4"/>
      <c r="K86" s="4"/>
    </row>
    <row r="87" spans="2:11" x14ac:dyDescent="0.2"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2:11" x14ac:dyDescent="0.2"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2:11" x14ac:dyDescent="0.2"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2:11" x14ac:dyDescent="0.2"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2:11" x14ac:dyDescent="0.2"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2:11" x14ac:dyDescent="0.2"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2:11" x14ac:dyDescent="0.2"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2:11" x14ac:dyDescent="0.2"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2:11" x14ac:dyDescent="0.2"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2:11" x14ac:dyDescent="0.2"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2:11" x14ac:dyDescent="0.2"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2:11" x14ac:dyDescent="0.2"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2:11" x14ac:dyDescent="0.2">
      <c r="B99" s="4"/>
      <c r="C99" s="4"/>
      <c r="D99" s="4"/>
      <c r="E99" s="4"/>
      <c r="F99" s="4"/>
      <c r="G99" s="4"/>
      <c r="H99" s="4"/>
      <c r="I99" s="4"/>
      <c r="J99" s="4"/>
      <c r="K99" s="4"/>
    </row>
  </sheetData>
  <mergeCells count="1">
    <mergeCell ref="B26:I26"/>
  </mergeCells>
  <dataValidations count="1">
    <dataValidation type="list" allowBlank="1" showInputMessage="1" showErrorMessage="1" sqref="B14:B24" xr:uid="{FD24145D-FA47-5145-9602-8123B3C36FC5}">
      <formula1>"0BR/1BA,1BR/2BA,1BR/1BA,2BR/1BA,2BR/1.5BA,2BR/2BA,3BR/2BA,3BR/1.5BA,3BR/1BA,3BR/2.5BA,4BR/2BA"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1983-6237-1E4B-BA7C-C1AA81352FF1}">
  <sheetPr>
    <tabColor rgb="FF1F3864"/>
  </sheetPr>
  <dimension ref="A1:AD398"/>
  <sheetViews>
    <sheetView workbookViewId="0">
      <pane ySplit="1" topLeftCell="A2" activePane="bottomLeft" state="frozen"/>
      <selection pane="bottomLeft" activeCell="J12" sqref="J12"/>
    </sheetView>
  </sheetViews>
  <sheetFormatPr baseColWidth="10" defaultRowHeight="16" x14ac:dyDescent="0.2"/>
  <cols>
    <col min="1" max="1" width="13.33203125" customWidth="1"/>
    <col min="2" max="2" width="14.1640625" customWidth="1"/>
    <col min="3" max="3" width="16.6640625" customWidth="1"/>
    <col min="4" max="4" width="10" customWidth="1"/>
    <col min="5" max="6" width="15" customWidth="1"/>
    <col min="7" max="9" width="14.1640625" customWidth="1"/>
    <col min="10" max="10" width="11.6640625" customWidth="1"/>
    <col min="11" max="13" width="13.33203125" customWidth="1"/>
    <col min="14" max="30" width="0" style="393" hidden="1" customWidth="1"/>
  </cols>
  <sheetData>
    <row r="1" spans="1:19" ht="22" customHeight="1" x14ac:dyDescent="0.25">
      <c r="B1" s="368" t="s">
        <v>234</v>
      </c>
    </row>
    <row r="2" spans="1:19" ht="22" customHeight="1" x14ac:dyDescent="0.2">
      <c r="B2" s="369" t="s">
        <v>237</v>
      </c>
    </row>
    <row r="4" spans="1:19" x14ac:dyDescent="0.2">
      <c r="B4" s="370" t="s">
        <v>238</v>
      </c>
      <c r="E4" s="373" t="s">
        <v>239</v>
      </c>
      <c r="F4" s="326">
        <f>'Cash Flow'!E21</f>
        <v>11207.43</v>
      </c>
    </row>
    <row r="5" spans="1:19" x14ac:dyDescent="0.2">
      <c r="B5" s="371" t="s">
        <v>235</v>
      </c>
      <c r="C5" s="372">
        <v>0.1</v>
      </c>
      <c r="E5" s="373" t="s">
        <v>240</v>
      </c>
      <c r="F5" s="326">
        <f>Assumptions!C62</f>
        <v>5</v>
      </c>
    </row>
    <row r="6" spans="1:19" x14ac:dyDescent="0.2">
      <c r="B6" s="371" t="s">
        <v>236</v>
      </c>
      <c r="C6" s="372">
        <v>0.06</v>
      </c>
      <c r="E6" s="373" t="s">
        <v>241</v>
      </c>
      <c r="F6" s="326">
        <f>Assumptions!C63</f>
        <v>0.06</v>
      </c>
    </row>
    <row r="8" spans="1:19" ht="20" customHeight="1" x14ac:dyDescent="0.2">
      <c r="B8" s="374" t="s">
        <v>242</v>
      </c>
    </row>
    <row r="9" spans="1:19" ht="17" x14ac:dyDescent="0.2">
      <c r="B9" s="377" t="s">
        <v>243</v>
      </c>
      <c r="C9" s="377" t="s">
        <v>244</v>
      </c>
      <c r="D9" s="377" t="s">
        <v>245</v>
      </c>
      <c r="E9" s="377" t="s">
        <v>246</v>
      </c>
      <c r="F9" s="377" t="s">
        <v>247</v>
      </c>
      <c r="G9" s="377" t="s">
        <v>248</v>
      </c>
      <c r="H9" s="377" t="s">
        <v>249</v>
      </c>
      <c r="I9" s="377" t="s">
        <v>250</v>
      </c>
      <c r="J9" s="377" t="s">
        <v>251</v>
      </c>
      <c r="K9" s="377" t="s">
        <v>252</v>
      </c>
      <c r="L9" s="377" t="s">
        <v>253</v>
      </c>
      <c r="M9" s="377" t="s">
        <v>254</v>
      </c>
      <c r="N9" s="392" t="s">
        <v>255</v>
      </c>
      <c r="O9" s="392" t="s">
        <v>256</v>
      </c>
      <c r="P9" s="392" t="s">
        <v>257</v>
      </c>
      <c r="Q9" s="392" t="s">
        <v>258</v>
      </c>
      <c r="R9" s="392" t="s">
        <v>259</v>
      </c>
      <c r="S9" s="392" t="s">
        <v>260</v>
      </c>
    </row>
    <row r="10" spans="1:19" x14ac:dyDescent="0.2">
      <c r="A10" s="395" t="str">
        <f>IF(ABS(C10-Assumptions!$C$7)&lt;C10*0.02,"★ BASE",IF(Assumptions!$C$7&gt;C10,"▼ OVERPRICE","▲ UPSIDE"))</f>
        <v>▼ OVERPRICE</v>
      </c>
      <c r="B10" s="380">
        <v>0.05</v>
      </c>
      <c r="C10" s="381">
        <f>'Cash Flow'!$E$21/B10</f>
        <v>224148.6</v>
      </c>
      <c r="D10" s="382">
        <f>Assumptions!$C$52</f>
        <v>0.7</v>
      </c>
      <c r="E10" s="381">
        <f t="shared" ref="E10:E20" si="0">C10*D10</f>
        <v>156904.01999999999</v>
      </c>
      <c r="F10" s="381">
        <f>C10*(1+Assumptions!$C$8)+Assumptions!$C$36-E10</f>
        <v>71727.552000000025</v>
      </c>
      <c r="G10" s="381">
        <f>F10*Assumptions!$C$67</f>
        <v>7172.7552000000032</v>
      </c>
      <c r="H10" s="381">
        <f t="shared" ref="H10:H20" si="1">F10-G10</f>
        <v>64554.796800000026</v>
      </c>
      <c r="I10" s="381">
        <f>'Cash Flow'!$E$21</f>
        <v>11207.43</v>
      </c>
      <c r="J10" s="381">
        <f>('Cash Flow'!$E$21-E10*Assumptions!$C$54)/F10</f>
        <v>1.4062499999999997E-2</v>
      </c>
      <c r="K10" s="381">
        <f>IFERROR(AVERAGE('Cash Flow'!$E$21-E10*Assumptions!$C$54,'Cash Flow'!$F$21-E10*Assumptions!$C$54,'Cash Flow'!$G$21+PMT(Assumptions!$C$54/12,Assumptions!$C$56*12,E10)*12,'Cash Flow'!$H$21+PMT(Assumptions!$C$54/12,Assumptions!$C$56*12,E10)*12,'Cash Flow'!$I$21+PMT(Assumptions!$C$54/12,Assumptions!$C$56*12,E10)*12)/F10,"-")</f>
        <v>7.9441690041851098E-3</v>
      </c>
      <c r="L10" s="381">
        <f t="shared" ref="L10:L20" si="2">IFERROR(IRR(N10:S10),"n/a")</f>
        <v>-6.0314324872173808E-2</v>
      </c>
      <c r="M10" s="381">
        <f t="shared" ref="M10:M20" si="3">IFERROR((SUM(O10:S10)+N10)/(-N10)+1,"n/a")</f>
        <v>0.73894253671517629</v>
      </c>
      <c r="N10" s="393">
        <f t="shared" ref="N10:N20" si="4">-F10</f>
        <v>-71727.552000000025</v>
      </c>
      <c r="O10" s="393">
        <f>'Cash Flow'!$E$21-E10*Assumptions!$C$54</f>
        <v>1008.6687000000002</v>
      </c>
      <c r="P10" s="393">
        <f>'Cash Flow'!$F$21-E10*Assumptions!$C$54</f>
        <v>1344.8916000000008</v>
      </c>
      <c r="Q10" s="393">
        <f>'Cash Flow'!$G$21+PMT(Assumptions!$C$54/12,Assumptions!$C$56*12,E10)*12</f>
        <v>-99.716498940055317</v>
      </c>
      <c r="R10" s="393">
        <f>'Cash Flow'!$H$21+PMT(Assumptions!$C$54/12,Assumptions!$C$56*12,E10)*12</f>
        <v>163.30119251994256</v>
      </c>
      <c r="S10" s="393">
        <f>'Cash Flow'!$I$21+PMT(Assumptions!$C$54/12,Assumptions!$C$56*12,E10)*12+('Cash Flow'!$I$21/Assumptions!$C$63)*(1-Assumptions!$C$64)-(E10+CUMPRINC(Assumptions!$C$54/12,Assumptions!$C$56*12,E10,1,MIN(Assumptions!$C$62*12-Assumptions!$C$55,Assumptions!$C$56*12),0))</f>
        <v>50585.394233669853</v>
      </c>
    </row>
    <row r="11" spans="1:19" x14ac:dyDescent="0.2">
      <c r="A11" s="395" t="str">
        <f>IF(ABS(C11-Assumptions!$C$7)&lt;C11*0.02,"★ BASE",IF(Assumptions!$C$7&gt;C11,"▼ OVERPRICE","▲ UPSIDE"))</f>
        <v>▼ OVERPRICE</v>
      </c>
      <c r="B11" s="383">
        <v>6.0000000000000005E-2</v>
      </c>
      <c r="C11" s="4">
        <f>'Cash Flow'!$E$21/B11</f>
        <v>186790.5</v>
      </c>
      <c r="D11" s="384">
        <f>Assumptions!$C$52</f>
        <v>0.7</v>
      </c>
      <c r="E11" s="4">
        <f t="shared" si="0"/>
        <v>130753.34999999999</v>
      </c>
      <c r="F11" s="4">
        <f>C11*(1+Assumptions!$C$8)+Assumptions!$C$36-E11</f>
        <v>59772.960000000006</v>
      </c>
      <c r="G11" s="4">
        <f>F11*Assumptions!$C$67</f>
        <v>5977.2960000000012</v>
      </c>
      <c r="H11" s="4">
        <f t="shared" si="1"/>
        <v>53795.664000000004</v>
      </c>
      <c r="I11" s="4">
        <f>'Cash Flow'!$E$21</f>
        <v>11207.43</v>
      </c>
      <c r="J11" s="4">
        <f>('Cash Flow'!$E$21-E11*Assumptions!$C$54)/F11</f>
        <v>4.5312500000000006E-2</v>
      </c>
      <c r="K11" s="4">
        <f>IFERROR(AVERAGE('Cash Flow'!$E$21-E11*Assumptions!$C$54,'Cash Flow'!$F$21-E11*Assumptions!$C$54,'Cash Flow'!$G$21+PMT(Assumptions!$C$54/12,Assumptions!$C$56*12,E11)*12,'Cash Flow'!$H$21+PMT(Assumptions!$C$54/12,Assumptions!$C$56*12,E11)*12,'Cash Flow'!$I$21+PMT(Assumptions!$C$54/12,Assumptions!$C$56*12,E11)*12)/F11,"-")</f>
        <v>4.0818145545050484E-2</v>
      </c>
      <c r="L11" s="4">
        <f t="shared" si="2"/>
        <v>8.5245031358821333E-2</v>
      </c>
      <c r="M11" s="4">
        <f t="shared" si="3"/>
        <v>1.4649821910901761</v>
      </c>
      <c r="N11" s="393">
        <f t="shared" si="4"/>
        <v>-59772.960000000006</v>
      </c>
      <c r="O11" s="393">
        <f>'Cash Flow'!$E$21-E11*Assumptions!$C$54</f>
        <v>2708.4622500000005</v>
      </c>
      <c r="P11" s="393">
        <f>'Cash Flow'!$F$21-E11*Assumptions!$C$54</f>
        <v>3044.6851500000012</v>
      </c>
      <c r="Q11" s="393">
        <f>'Cash Flow'!$G$21+PMT(Assumptions!$C$54/12,Assumptions!$C$56*12,E11)*12</f>
        <v>1883.7637770499532</v>
      </c>
      <c r="R11" s="393">
        <f>'Cash Flow'!$H$21+PMT(Assumptions!$C$54/12,Assumptions!$C$56*12,E11)*12</f>
        <v>2146.7814685099511</v>
      </c>
      <c r="S11" s="393">
        <f>'Cash Flow'!$I$21+PMT(Assumptions!$C$54/12,Assumptions!$C$56*12,E11)*12+('Cash Flow'!$I$21/Assumptions!$C$63)*(1-Assumptions!$C$64)-(E11+CUMPRINC(Assumptions!$C$54/12,Assumptions!$C$56*12,E11,1,MIN(Assumptions!$C$62*12-Assumptions!$C$55,Assumptions!$C$56*12),0))</f>
        <v>77782.629263185561</v>
      </c>
    </row>
    <row r="12" spans="1:19" x14ac:dyDescent="0.2">
      <c r="A12" s="395" t="str">
        <f>IF(ABS(C12-Assumptions!$C$7)&lt;C12*0.02,"★ BASE",IF(Assumptions!$C$7&gt;C12,"▼ OVERPRICE","▲ UPSIDE"))</f>
        <v>▼ OVERPRICE</v>
      </c>
      <c r="B12" s="380">
        <v>7.0000000000000007E-2</v>
      </c>
      <c r="C12" s="381">
        <f>'Cash Flow'!$E$21/B12</f>
        <v>160106.14285714284</v>
      </c>
      <c r="D12" s="382">
        <f>Assumptions!$C$52</f>
        <v>0.7</v>
      </c>
      <c r="E12" s="381">
        <f t="shared" si="0"/>
        <v>112074.29999999999</v>
      </c>
      <c r="F12" s="381">
        <f>C12*(1+Assumptions!$C$8)+Assumptions!$C$36-E12</f>
        <v>51233.965714285703</v>
      </c>
      <c r="G12" s="381">
        <f>F12*Assumptions!$C$67</f>
        <v>5123.3965714285705</v>
      </c>
      <c r="H12" s="381">
        <f t="shared" si="1"/>
        <v>46110.56914285713</v>
      </c>
      <c r="I12" s="381">
        <f>'Cash Flow'!$E$21</f>
        <v>11207.43</v>
      </c>
      <c r="J12" s="381">
        <f>('Cash Flow'!$E$21-E12*Assumptions!$C$54)/F12</f>
        <v>7.6562500000000019E-2</v>
      </c>
      <c r="K12" s="381">
        <f>IFERROR(AVERAGE('Cash Flow'!$E$21-E12*Assumptions!$C$54,'Cash Flow'!$F$21-E12*Assumptions!$C$54,'Cash Flow'!$G$21+PMT(Assumptions!$C$54/12,Assumptions!$C$56*12,E12)*12,'Cash Flow'!$H$21+PMT(Assumptions!$C$54/12,Assumptions!$C$56*12,E12)*12,'Cash Flow'!$I$21+PMT(Assumptions!$C$54/12,Assumptions!$C$56*12,E12)*12)/F12,"-")</f>
        <v>7.3692122085915912E-2</v>
      </c>
      <c r="L12" s="381">
        <f t="shared" si="2"/>
        <v>0.18759618142171952</v>
      </c>
      <c r="M12" s="381">
        <f t="shared" si="3"/>
        <v>2.1910218454651771</v>
      </c>
      <c r="N12" s="393">
        <f t="shared" si="4"/>
        <v>-51233.965714285703</v>
      </c>
      <c r="O12" s="393">
        <f>'Cash Flow'!$E$21-E12*Assumptions!$C$54</f>
        <v>3922.6005000000005</v>
      </c>
      <c r="P12" s="393">
        <f>'Cash Flow'!$F$21-E12*Assumptions!$C$54</f>
        <v>4258.8234000000011</v>
      </c>
      <c r="Q12" s="393">
        <f>'Cash Flow'!$G$21+PMT(Assumptions!$C$54/12,Assumptions!$C$56*12,E12)*12</f>
        <v>3300.5354027571047</v>
      </c>
      <c r="R12" s="393">
        <f>'Cash Flow'!$H$21+PMT(Assumptions!$C$54/12,Assumptions!$C$56*12,E12)*12</f>
        <v>3563.5530942171026</v>
      </c>
      <c r="S12" s="393">
        <f>'Cash Flow'!$I$21+PMT(Assumptions!$C$54/12,Assumptions!$C$56*12,E12)*12+('Cash Flow'!$I$21/Assumptions!$C$63)*(1-Assumptions!$C$64)-(E12+CUMPRINC(Assumptions!$C$54/12,Assumptions!$C$56*12,E12,1,MIN(Assumptions!$C$62*12-Assumptions!$C$55,Assumptions!$C$56*12),0))</f>
        <v>97209.225712839645</v>
      </c>
    </row>
    <row r="13" spans="1:19" x14ac:dyDescent="0.2">
      <c r="A13" s="395" t="str">
        <f>IF(ABS(C13-Assumptions!$C$7)&lt;C13*0.02,"★ BASE",IF(Assumptions!$C$7&gt;C13,"▼ OVERPRICE","▲ UPSIDE"))</f>
        <v>▼ OVERPRICE</v>
      </c>
      <c r="B13" s="383">
        <v>0.08</v>
      </c>
      <c r="C13" s="4">
        <f>'Cash Flow'!$E$21/B13</f>
        <v>140092.875</v>
      </c>
      <c r="D13" s="384">
        <f>Assumptions!$C$52</f>
        <v>0.7</v>
      </c>
      <c r="E13" s="4">
        <f t="shared" si="0"/>
        <v>98065.012499999997</v>
      </c>
      <c r="F13" s="4">
        <f>C13*(1+Assumptions!$C$8)+Assumptions!$C$36-E13</f>
        <v>44829.720000000016</v>
      </c>
      <c r="G13" s="4">
        <f>F13*Assumptions!$C$67</f>
        <v>4482.9720000000016</v>
      </c>
      <c r="H13" s="4">
        <f t="shared" si="1"/>
        <v>40346.748000000014</v>
      </c>
      <c r="I13" s="4">
        <f>'Cash Flow'!$E$21</f>
        <v>11207.43</v>
      </c>
      <c r="J13" s="4">
        <f>('Cash Flow'!$E$21-E13*Assumptions!$C$54)/F13</f>
        <v>0.10781249999999998</v>
      </c>
      <c r="K13" s="4">
        <f>IFERROR(AVERAGE('Cash Flow'!$E$21-E13*Assumptions!$C$54,'Cash Flow'!$F$21-E13*Assumptions!$C$54,'Cash Flow'!$G$21+PMT(Assumptions!$C$54/12,Assumptions!$C$56*12,E13)*12,'Cash Flow'!$H$21+PMT(Assumptions!$C$54/12,Assumptions!$C$56*12,E13)*12,'Cash Flow'!$I$21+PMT(Assumptions!$C$54/12,Assumptions!$C$56*12,E13)*12)/F13,"-")</f>
        <v>0.10656609862678122</v>
      </c>
      <c r="L13" s="4">
        <f t="shared" si="2"/>
        <v>0.26949006364224215</v>
      </c>
      <c r="M13" s="4">
        <f t="shared" si="3"/>
        <v>2.9170614998401749</v>
      </c>
      <c r="N13" s="393">
        <f t="shared" si="4"/>
        <v>-44829.720000000016</v>
      </c>
      <c r="O13" s="393">
        <f>'Cash Flow'!$E$21-E13*Assumptions!$C$54</f>
        <v>4833.2041875000004</v>
      </c>
      <c r="P13" s="393">
        <f>'Cash Flow'!$F$21-E13*Assumptions!$C$54</f>
        <v>5169.4270875000011</v>
      </c>
      <c r="Q13" s="393">
        <f>'Cash Flow'!$G$21+PMT(Assumptions!$C$54/12,Assumptions!$C$56*12,E13)*12</f>
        <v>4363.1141220374648</v>
      </c>
      <c r="R13" s="393">
        <f>'Cash Flow'!$H$21+PMT(Assumptions!$C$54/12,Assumptions!$C$56*12,E13)*12</f>
        <v>4626.1318134974626</v>
      </c>
      <c r="S13" s="393">
        <f>'Cash Flow'!$I$21+PMT(Assumptions!$C$54/12,Assumptions!$C$56*12,E13)*12+('Cash Flow'!$I$21/Assumptions!$C$63)*(1-Assumptions!$C$64)-(E13+CUMPRINC(Assumptions!$C$54/12,Assumptions!$C$56*12,E13,1,MIN(Assumptions!$C$62*12-Assumptions!$C$55,Assumptions!$C$56*12),0))</f>
        <v>111779.17305008021</v>
      </c>
    </row>
    <row r="14" spans="1:19" x14ac:dyDescent="0.2">
      <c r="A14" s="395" t="str">
        <f>IF(ABS(C14-Assumptions!$C$7)&lt;C14*0.02,"★ BASE",IF(Assumptions!$C$7&gt;C14,"▼ OVERPRICE","▲ UPSIDE"))</f>
        <v>▼ OVERPRICE</v>
      </c>
      <c r="B14" s="380">
        <v>0.09</v>
      </c>
      <c r="C14" s="381">
        <f>'Cash Flow'!$E$21/B14</f>
        <v>124527.00000000001</v>
      </c>
      <c r="D14" s="382">
        <f>Assumptions!$C$52</f>
        <v>0.7</v>
      </c>
      <c r="E14" s="381">
        <f t="shared" si="0"/>
        <v>87168.900000000009</v>
      </c>
      <c r="F14" s="381">
        <f>C14*(1+Assumptions!$C$8)+Assumptions!$C$36-E14</f>
        <v>39848.640000000014</v>
      </c>
      <c r="G14" s="381">
        <f>F14*Assumptions!$C$67</f>
        <v>3984.8640000000014</v>
      </c>
      <c r="H14" s="381">
        <f t="shared" si="1"/>
        <v>35863.776000000013</v>
      </c>
      <c r="I14" s="381">
        <f>'Cash Flow'!$E$21</f>
        <v>11207.43</v>
      </c>
      <c r="J14" s="381">
        <f>('Cash Flow'!$E$21-E14*Assumptions!$C$54)/F14</f>
        <v>0.13906249999999992</v>
      </c>
      <c r="K14" s="381">
        <f>IFERROR(AVERAGE('Cash Flow'!$E$21-E14*Assumptions!$C$54,'Cash Flow'!$F$21-E14*Assumptions!$C$54,'Cash Flow'!$G$21+PMT(Assumptions!$C$54/12,Assumptions!$C$56*12,E14)*12,'Cash Flow'!$H$21+PMT(Assumptions!$C$54/12,Assumptions!$C$56*12,E14)*12,'Cash Flow'!$I$21+PMT(Assumptions!$C$54/12,Assumptions!$C$56*12,E14)*12)/F14,"-")</f>
        <v>0.13944007516764659</v>
      </c>
      <c r="L14" s="381">
        <f t="shared" si="2"/>
        <v>0.3392240792916783</v>
      </c>
      <c r="M14" s="381">
        <f t="shared" si="3"/>
        <v>3.6431011542151746</v>
      </c>
      <c r="N14" s="393">
        <f t="shared" si="4"/>
        <v>-39848.640000000014</v>
      </c>
      <c r="O14" s="393">
        <f>'Cash Flow'!$E$21-E14*Assumptions!$C$54</f>
        <v>5541.4514999999992</v>
      </c>
      <c r="P14" s="393">
        <f>'Cash Flow'!$F$21-E14*Assumptions!$C$54</f>
        <v>5877.6743999999999</v>
      </c>
      <c r="Q14" s="393">
        <f>'Cash Flow'!$G$21+PMT(Assumptions!$C$54/12,Assumptions!$C$56*12,E14)*12</f>
        <v>5189.5642370333026</v>
      </c>
      <c r="R14" s="393">
        <f>'Cash Flow'!$H$21+PMT(Assumptions!$C$54/12,Assumptions!$C$56*12,E14)*12</f>
        <v>5452.5819284933004</v>
      </c>
      <c r="S14" s="393">
        <f>'Cash Flow'!$I$21+PMT(Assumptions!$C$54/12,Assumptions!$C$56*12,E14)*12+('Cash Flow'!$I$21/Assumptions!$C$63)*(1-Assumptions!$C$64)-(E14+CUMPRINC(Assumptions!$C$54/12,Assumptions!$C$56*12,E14,1,MIN(Assumptions!$C$62*12-Assumptions!$C$55,Assumptions!$C$56*12),0))</f>
        <v>123111.3543123784</v>
      </c>
    </row>
    <row r="15" spans="1:19" x14ac:dyDescent="0.2">
      <c r="A15" s="395" t="str">
        <f>IF(ABS(C15-Assumptions!$C$7)&lt;C15*0.02,"★ BASE",IF(Assumptions!$C$7&gt;C15,"▼ OVERPRICE","▲ UPSIDE"))</f>
        <v>▼ OVERPRICE</v>
      </c>
      <c r="B15" s="383">
        <v>0.1</v>
      </c>
      <c r="C15" s="4">
        <f>'Cash Flow'!$E$21/B15</f>
        <v>112074.3</v>
      </c>
      <c r="D15" s="384">
        <f>Assumptions!$C$52</f>
        <v>0.7</v>
      </c>
      <c r="E15" s="4">
        <f t="shared" si="0"/>
        <v>78452.009999999995</v>
      </c>
      <c r="F15" s="4">
        <f>C15*(1+Assumptions!$C$8)+Assumptions!$C$36-E15</f>
        <v>35863.776000000013</v>
      </c>
      <c r="G15" s="4">
        <f>F15*Assumptions!$C$67</f>
        <v>3586.3776000000016</v>
      </c>
      <c r="H15" s="4">
        <f t="shared" si="1"/>
        <v>32277.398400000013</v>
      </c>
      <c r="I15" s="4">
        <f>'Cash Flow'!$E$21</f>
        <v>11207.43</v>
      </c>
      <c r="J15" s="4">
        <f>('Cash Flow'!$E$21-E15*Assumptions!$C$54)/F15</f>
        <v>0.17031249999999995</v>
      </c>
      <c r="K15" s="4">
        <f>IFERROR(AVERAGE('Cash Flow'!$E$21-E15*Assumptions!$C$54,'Cash Flow'!$F$21-E15*Assumptions!$C$54,'Cash Flow'!$G$21+PMT(Assumptions!$C$54/12,Assumptions!$C$56*12,E15)*12,'Cash Flow'!$H$21+PMT(Assumptions!$C$54/12,Assumptions!$C$56*12,E15)*12,'Cash Flow'!$I$21+PMT(Assumptions!$C$54/12,Assumptions!$C$56*12,E15)*12)/F15,"-")</f>
        <v>0.17231405170851197</v>
      </c>
      <c r="L15" s="4">
        <f t="shared" si="2"/>
        <v>0.40083164528291126</v>
      </c>
      <c r="M15" s="4">
        <f t="shared" si="3"/>
        <v>4.3691408085901742</v>
      </c>
      <c r="N15" s="393">
        <f t="shared" si="4"/>
        <v>-35863.776000000013</v>
      </c>
      <c r="O15" s="393">
        <f>'Cash Flow'!$E$21-E15*Assumptions!$C$54</f>
        <v>6108.0493500000002</v>
      </c>
      <c r="P15" s="393">
        <f>'Cash Flow'!$F$21-E15*Assumptions!$C$54</f>
        <v>6444.2722500000009</v>
      </c>
      <c r="Q15" s="393">
        <f>'Cash Flow'!$G$21+PMT(Assumptions!$C$54/12,Assumptions!$C$56*12,E15)*12</f>
        <v>5850.7243290299721</v>
      </c>
      <c r="R15" s="393">
        <f>'Cash Flow'!$H$21+PMT(Assumptions!$C$54/12,Assumptions!$C$56*12,E15)*12</f>
        <v>6113.7420204899699</v>
      </c>
      <c r="S15" s="393">
        <f>'Cash Flow'!$I$21+PMT(Assumptions!$C$54/12,Assumptions!$C$56*12,E15)*12+('Cash Flow'!$I$21/Assumptions!$C$63)*(1-Assumptions!$C$64)-(E15+CUMPRINC(Assumptions!$C$54/12,Assumptions!$C$56*12,E15,1,MIN(Assumptions!$C$62*12-Assumptions!$C$55,Assumptions!$C$56*12),0))</f>
        <v>132177.09932221699</v>
      </c>
    </row>
    <row r="16" spans="1:19" x14ac:dyDescent="0.2">
      <c r="A16" s="395" t="str">
        <f>IF(ABS(C16-Assumptions!$C$7)&lt;C16*0.02,"★ BASE",IF(Assumptions!$C$7&gt;C16,"▼ OVERPRICE","▲ UPSIDE"))</f>
        <v>▼ OVERPRICE</v>
      </c>
      <c r="B16" s="380">
        <v>0.11</v>
      </c>
      <c r="C16" s="381">
        <f>'Cash Flow'!$E$21/B16</f>
        <v>101885.72727272728</v>
      </c>
      <c r="D16" s="382">
        <f>Assumptions!$C$52</f>
        <v>0.7</v>
      </c>
      <c r="E16" s="381">
        <f t="shared" si="0"/>
        <v>71320.009090909094</v>
      </c>
      <c r="F16" s="381">
        <f>C16*(1+Assumptions!$C$8)+Assumptions!$C$36-E16</f>
        <v>32603.432727272739</v>
      </c>
      <c r="G16" s="381">
        <f>F16*Assumptions!$C$67</f>
        <v>3260.3432727272739</v>
      </c>
      <c r="H16" s="381">
        <f t="shared" si="1"/>
        <v>29343.089454545465</v>
      </c>
      <c r="I16" s="381">
        <f>'Cash Flow'!$E$21</f>
        <v>11207.43</v>
      </c>
      <c r="J16" s="381">
        <f>('Cash Flow'!$E$21-E16*Assumptions!$C$54)/F16</f>
        <v>0.20156249999999992</v>
      </c>
      <c r="K16" s="381">
        <f>IFERROR(AVERAGE('Cash Flow'!$E$21-E16*Assumptions!$C$54,'Cash Flow'!$F$21-E16*Assumptions!$C$54,'Cash Flow'!$G$21+PMT(Assumptions!$C$54/12,Assumptions!$C$56*12,E16)*12,'Cash Flow'!$H$21+PMT(Assumptions!$C$54/12,Assumptions!$C$56*12,E16)*12,'Cash Flow'!$I$21+PMT(Assumptions!$C$54/12,Assumptions!$C$56*12,E16)*12)/F16,"-")</f>
        <v>0.20518802824937735</v>
      </c>
      <c r="L16" s="381">
        <f t="shared" si="2"/>
        <v>0.45660127289973862</v>
      </c>
      <c r="M16" s="381">
        <f t="shared" si="3"/>
        <v>5.0951804629651729</v>
      </c>
      <c r="N16" s="393">
        <f t="shared" si="4"/>
        <v>-32603.432727272739</v>
      </c>
      <c r="O16" s="393">
        <f>'Cash Flow'!$E$21-E16*Assumptions!$C$54</f>
        <v>6571.6294090909087</v>
      </c>
      <c r="P16" s="393">
        <f>'Cash Flow'!$F$21-E16*Assumptions!$C$54</f>
        <v>6907.8523090909093</v>
      </c>
      <c r="Q16" s="393">
        <f>'Cash Flow'!$G$21+PMT(Assumptions!$C$54/12,Assumptions!$C$56*12,E16)*12</f>
        <v>6391.6734952090646</v>
      </c>
      <c r="R16" s="393">
        <f>'Cash Flow'!$H$21+PMT(Assumptions!$C$54/12,Assumptions!$C$56*12,E16)*12</f>
        <v>6654.6911866690625</v>
      </c>
      <c r="S16" s="393">
        <f>'Cash Flow'!$I$21+PMT(Assumptions!$C$54/12,Assumptions!$C$56*12,E16)*12+('Cash Flow'!$I$21/Assumptions!$C$63)*(1-Assumptions!$C$64)-(E16+CUMPRINC(Assumptions!$C$54/12,Assumptions!$C$56*12,E16,1,MIN(Assumptions!$C$62*12-Assumptions!$C$55,Assumptions!$C$56*12),0))</f>
        <v>139594.52705753944</v>
      </c>
    </row>
    <row r="17" spans="1:30" x14ac:dyDescent="0.2">
      <c r="A17" s="395" t="str">
        <f>IF(ABS(C17-Assumptions!$C$7)&lt;C17*0.02,"★ BASE",IF(Assumptions!$C$7&gt;C17,"▼ OVERPRICE","▲ UPSIDE"))</f>
        <v>▼ OVERPRICE</v>
      </c>
      <c r="B17" s="383">
        <v>0.12</v>
      </c>
      <c r="C17" s="4">
        <f>'Cash Flow'!$E$21/B17</f>
        <v>93395.25</v>
      </c>
      <c r="D17" s="384">
        <f>Assumptions!$C$52</f>
        <v>0.7</v>
      </c>
      <c r="E17" s="4">
        <f t="shared" si="0"/>
        <v>65376.674999999996</v>
      </c>
      <c r="F17" s="4">
        <f>C17*(1+Assumptions!$C$8)+Assumptions!$C$36-E17</f>
        <v>29886.480000000003</v>
      </c>
      <c r="G17" s="4">
        <f>F17*Assumptions!$C$67</f>
        <v>2988.6480000000006</v>
      </c>
      <c r="H17" s="4">
        <f t="shared" si="1"/>
        <v>26897.832000000002</v>
      </c>
      <c r="I17" s="4">
        <f>'Cash Flow'!$E$21</f>
        <v>11207.43</v>
      </c>
      <c r="J17" s="4">
        <f>('Cash Flow'!$E$21-E17*Assumptions!$C$54)/F17</f>
        <v>0.23281249999999998</v>
      </c>
      <c r="K17" s="4">
        <f>IFERROR(AVERAGE('Cash Flow'!$E$21-E17*Assumptions!$C$54,'Cash Flow'!$F$21-E17*Assumptions!$C$54,'Cash Flow'!$G$21+PMT(Assumptions!$C$54/12,Assumptions!$C$56*12,E17)*12,'Cash Flow'!$H$21+PMT(Assumptions!$C$54/12,Assumptions!$C$56*12,E17)*12,'Cash Flow'!$I$21+PMT(Assumptions!$C$54/12,Assumptions!$C$56*12,E17)*12)/F17,"-")</f>
        <v>0.23806200479024275</v>
      </c>
      <c r="L17" s="4">
        <f t="shared" si="2"/>
        <v>0.50796585462325416</v>
      </c>
      <c r="M17" s="4">
        <f t="shared" si="3"/>
        <v>5.8212201173401743</v>
      </c>
      <c r="N17" s="393">
        <f t="shared" si="4"/>
        <v>-29886.480000000003</v>
      </c>
      <c r="O17" s="393">
        <f>'Cash Flow'!$E$21-E17*Assumptions!$C$54</f>
        <v>6957.9461250000004</v>
      </c>
      <c r="P17" s="393">
        <f>'Cash Flow'!$F$21-E17*Assumptions!$C$54</f>
        <v>7294.1690250000011</v>
      </c>
      <c r="Q17" s="393">
        <f>'Cash Flow'!$G$21+PMT(Assumptions!$C$54/12,Assumptions!$C$56*12,E17)*12</f>
        <v>6842.4644670249763</v>
      </c>
      <c r="R17" s="393">
        <f>'Cash Flow'!$H$21+PMT(Assumptions!$C$54/12,Assumptions!$C$56*12,E17)*12</f>
        <v>7105.4821584849742</v>
      </c>
      <c r="S17" s="393">
        <f>'Cash Flow'!$I$21+PMT(Assumptions!$C$54/12,Assumptions!$C$56*12,E17)*12+('Cash Flow'!$I$21/Assumptions!$C$63)*(1-Assumptions!$C$64)-(E17+CUMPRINC(Assumptions!$C$54/12,Assumptions!$C$56*12,E17,1,MIN(Assumptions!$C$62*12-Assumptions!$C$55,Assumptions!$C$56*12),0))</f>
        <v>145775.71683697484</v>
      </c>
    </row>
    <row r="18" spans="1:30" x14ac:dyDescent="0.2">
      <c r="A18" s="395" t="str">
        <f>IF(ABS(C18-Assumptions!$C$7)&lt;C18*0.02,"★ BASE",IF(Assumptions!$C$7&gt;C18,"▼ OVERPRICE","▲ UPSIDE"))</f>
        <v>▼ OVERPRICE</v>
      </c>
      <c r="B18" s="380">
        <v>0.13</v>
      </c>
      <c r="C18" s="381">
        <f>'Cash Flow'!$E$21/B18</f>
        <v>86211</v>
      </c>
      <c r="D18" s="382">
        <f>Assumptions!$C$52</f>
        <v>0.7</v>
      </c>
      <c r="E18" s="381">
        <f t="shared" si="0"/>
        <v>60347.7</v>
      </c>
      <c r="F18" s="381">
        <f>C18*(1+Assumptions!$C$8)+Assumptions!$C$36-E18</f>
        <v>27587.520000000004</v>
      </c>
      <c r="G18" s="381">
        <f>F18*Assumptions!$C$67</f>
        <v>2758.7520000000004</v>
      </c>
      <c r="H18" s="381">
        <f t="shared" si="1"/>
        <v>24828.768000000004</v>
      </c>
      <c r="I18" s="381">
        <f>'Cash Flow'!$E$21</f>
        <v>11207.43</v>
      </c>
      <c r="J18" s="381">
        <f>('Cash Flow'!$E$21-E18*Assumptions!$C$54)/F18</f>
        <v>0.26406249999999998</v>
      </c>
      <c r="K18" s="381">
        <f>IFERROR(AVERAGE('Cash Flow'!$E$21-E18*Assumptions!$C$54,'Cash Flow'!$F$21-E18*Assumptions!$C$54,'Cash Flow'!$G$21+PMT(Assumptions!$C$54/12,Assumptions!$C$56*12,E18)*12,'Cash Flow'!$H$21+PMT(Assumptions!$C$54/12,Assumptions!$C$56*12,E18)*12,'Cash Flow'!$I$21+PMT(Assumptions!$C$54/12,Assumptions!$C$56*12,E18)*12)/F18,"-")</f>
        <v>0.27093598133110813</v>
      </c>
      <c r="L18" s="381">
        <f t="shared" si="2"/>
        <v>0.55588641311974074</v>
      </c>
      <c r="M18" s="381">
        <f t="shared" si="3"/>
        <v>6.5472597717151739</v>
      </c>
      <c r="N18" s="393">
        <f t="shared" si="4"/>
        <v>-27587.520000000004</v>
      </c>
      <c r="O18" s="393">
        <f>'Cash Flow'!$E$21-E18*Assumptions!$C$54</f>
        <v>7284.8294999999998</v>
      </c>
      <c r="P18" s="393">
        <f>'Cash Flow'!$F$21-E18*Assumptions!$C$54</f>
        <v>7621.0524000000005</v>
      </c>
      <c r="Q18" s="393">
        <f>'Cash Flow'!$G$21+PMT(Assumptions!$C$54/12,Assumptions!$C$56*12,E18)*12</f>
        <v>7223.90298163844</v>
      </c>
      <c r="R18" s="393">
        <f>'Cash Flow'!$H$21+PMT(Assumptions!$C$54/12,Assumptions!$C$56*12,E18)*12</f>
        <v>7486.9206730984379</v>
      </c>
      <c r="S18" s="393">
        <f>'Cash Flow'!$I$21+PMT(Assumptions!$C$54/12,Assumptions!$C$56*12,E18)*12+('Cash Flow'!$I$21/Assumptions!$C$63)*(1-Assumptions!$C$64)-(E18+CUMPRINC(Assumptions!$C$54/12,Assumptions!$C$56*12,E18,1,MIN(Assumptions!$C$62*12-Assumptions!$C$55,Assumptions!$C$56*12),0))</f>
        <v>151005.95434265095</v>
      </c>
    </row>
    <row r="19" spans="1:30" x14ac:dyDescent="0.2">
      <c r="A19" s="395" t="str">
        <f>IF(ABS(C19-Assumptions!$C$7)&lt;C19*0.02,"★ BASE",IF(Assumptions!$C$7&gt;C19,"▼ OVERPRICE","▲ UPSIDE"))</f>
        <v>▼ OVERPRICE</v>
      </c>
      <c r="B19" s="383">
        <v>0.14000000000000001</v>
      </c>
      <c r="C19" s="4">
        <f>'Cash Flow'!$E$21/B19</f>
        <v>80053.07142857142</v>
      </c>
      <c r="D19" s="384">
        <f>Assumptions!$C$52</f>
        <v>0.7</v>
      </c>
      <c r="E19" s="4">
        <f t="shared" si="0"/>
        <v>56037.149999999994</v>
      </c>
      <c r="F19" s="4">
        <f>C19*(1+Assumptions!$C$8)+Assumptions!$C$36-E19</f>
        <v>25616.982857142852</v>
      </c>
      <c r="G19" s="4">
        <f>F19*Assumptions!$C$67</f>
        <v>2561.6982857142852</v>
      </c>
      <c r="H19" s="4">
        <f t="shared" si="1"/>
        <v>23055.284571428565</v>
      </c>
      <c r="I19" s="4">
        <f>'Cash Flow'!$E$21</f>
        <v>11207.43</v>
      </c>
      <c r="J19" s="4">
        <f>('Cash Flow'!$E$21-E19*Assumptions!$C$54)/F19</f>
        <v>0.29531250000000009</v>
      </c>
      <c r="K19" s="4">
        <f>IFERROR(AVERAGE('Cash Flow'!$E$21-E19*Assumptions!$C$54,'Cash Flow'!$F$21-E19*Assumptions!$C$54,'Cash Flow'!$G$21+PMT(Assumptions!$C$54/12,Assumptions!$C$56*12,E19)*12,'Cash Flow'!$H$21+PMT(Assumptions!$C$54/12,Assumptions!$C$56*12,E19)*12,'Cash Flow'!$I$21+PMT(Assumptions!$C$54/12,Assumptions!$C$56*12,E19)*12)/F19,"-")</f>
        <v>0.30380995787197357</v>
      </c>
      <c r="L19" s="4">
        <f t="shared" si="2"/>
        <v>0.60104114386210594</v>
      </c>
      <c r="M19" s="4">
        <f t="shared" si="3"/>
        <v>7.2732994260901771</v>
      </c>
      <c r="N19" s="393">
        <f t="shared" si="4"/>
        <v>-25616.982857142852</v>
      </c>
      <c r="O19" s="393">
        <f>'Cash Flow'!$E$21-E19*Assumptions!$C$54</f>
        <v>7565.0152500000004</v>
      </c>
      <c r="P19" s="393">
        <f>'Cash Flow'!$F$21-E19*Assumptions!$C$54</f>
        <v>7901.238150000001</v>
      </c>
      <c r="Q19" s="393">
        <f>'Cash Flow'!$G$21+PMT(Assumptions!$C$54/12,Assumptions!$C$56*12,E19)*12</f>
        <v>7550.8502798785521</v>
      </c>
      <c r="R19" s="393">
        <f>'Cash Flow'!$H$21+PMT(Assumptions!$C$54/12,Assumptions!$C$56*12,E19)*12</f>
        <v>7813.86797133855</v>
      </c>
      <c r="S19" s="393">
        <f>'Cash Flow'!$I$21+PMT(Assumptions!$C$54/12,Assumptions!$C$56*12,E19)*12+('Cash Flow'!$I$21/Assumptions!$C$63)*(1-Assumptions!$C$64)-(E19+CUMPRINC(Assumptions!$C$54/12,Assumptions!$C$56*12,E19,1,MIN(Assumptions!$C$62*12-Assumptions!$C$55,Assumptions!$C$56*12),0))</f>
        <v>155489.01506180188</v>
      </c>
    </row>
    <row r="20" spans="1:30" x14ac:dyDescent="0.2">
      <c r="A20" s="395" t="str">
        <f>IF(ABS(C20-Assumptions!$C$7)&lt;C20*0.02,"★ BASE",IF(Assumptions!$C$7&gt;C20,"▼ OVERPRICE","▲ UPSIDE"))</f>
        <v>▼ OVERPRICE</v>
      </c>
      <c r="B20" s="380">
        <v>0.15000000000000002</v>
      </c>
      <c r="C20" s="381">
        <f>'Cash Flow'!$E$21/B20</f>
        <v>74716.2</v>
      </c>
      <c r="D20" s="382">
        <f>Assumptions!$C$52</f>
        <v>0.7</v>
      </c>
      <c r="E20" s="381">
        <f t="shared" si="0"/>
        <v>52301.34</v>
      </c>
      <c r="F20" s="381">
        <f>C20*(1+Assumptions!$C$8)+Assumptions!$C$36-E20</f>
        <v>23909.184000000008</v>
      </c>
      <c r="G20" s="381">
        <f>F20*Assumptions!$C$67</f>
        <v>2390.9184000000009</v>
      </c>
      <c r="H20" s="381">
        <f t="shared" si="1"/>
        <v>21518.265600000006</v>
      </c>
      <c r="I20" s="381">
        <f>'Cash Flow'!$E$21</f>
        <v>11207.43</v>
      </c>
      <c r="J20" s="381">
        <f>('Cash Flow'!$E$21-E20*Assumptions!$C$54)/F20</f>
        <v>0.32656249999999992</v>
      </c>
      <c r="K20" s="381">
        <f>IFERROR(AVERAGE('Cash Flow'!$E$21-E20*Assumptions!$C$54,'Cash Flow'!$F$21-E20*Assumptions!$C$54,'Cash Flow'!$G$21+PMT(Assumptions!$C$54/12,Assumptions!$C$56*12,E20)*12,'Cash Flow'!$H$21+PMT(Assumptions!$C$54/12,Assumptions!$C$56*12,E20)*12,'Cash Flow'!$I$21+PMT(Assumptions!$C$54/12,Assumptions!$C$56*12,E20)*12)/F20,"-")</f>
        <v>0.33668393441283884</v>
      </c>
      <c r="L20" s="381">
        <f t="shared" si="2"/>
        <v>0.64392781458337378</v>
      </c>
      <c r="M20" s="381">
        <f t="shared" si="3"/>
        <v>7.9993390804651732</v>
      </c>
      <c r="N20" s="393">
        <f t="shared" si="4"/>
        <v>-23909.184000000008</v>
      </c>
      <c r="O20" s="393">
        <f>'Cash Flow'!$E$21-E20*Assumptions!$C$54</f>
        <v>7807.8429000000006</v>
      </c>
      <c r="P20" s="393">
        <f>'Cash Flow'!$F$21-E20*Assumptions!$C$54</f>
        <v>8144.0658000000012</v>
      </c>
      <c r="Q20" s="393">
        <f>'Cash Flow'!$G$21+PMT(Assumptions!$C$54/12,Assumptions!$C$56*12,E20)*12</f>
        <v>7834.2046050199815</v>
      </c>
      <c r="R20" s="393">
        <f>'Cash Flow'!$H$21+PMT(Assumptions!$C$54/12,Assumptions!$C$56*12,E20)*12</f>
        <v>8097.2222964799794</v>
      </c>
      <c r="S20" s="393">
        <f>'Cash Flow'!$I$21+PMT(Assumptions!$C$54/12,Assumptions!$C$56*12,E20)*12+('Cash Flow'!$I$21/Assumptions!$C$63)*(1-Assumptions!$C$64)-(E20+CUMPRINC(Assumptions!$C$54/12,Assumptions!$C$56*12,E20,1,MIN(Assumptions!$C$62*12-Assumptions!$C$55,Assumptions!$C$56*12),0))</f>
        <v>159374.33435173272</v>
      </c>
    </row>
    <row r="23" spans="1:30" ht="20" customHeight="1" x14ac:dyDescent="0.2">
      <c r="B23" s="374" t="s">
        <v>261</v>
      </c>
    </row>
    <row r="24" spans="1:30" x14ac:dyDescent="0.2">
      <c r="B24" s="373" t="s">
        <v>263</v>
      </c>
    </row>
    <row r="25" spans="1:30" x14ac:dyDescent="0.2">
      <c r="B25" s="375" t="s">
        <v>262</v>
      </c>
      <c r="C25" s="376">
        <v>0.04</v>
      </c>
      <c r="D25" s="376">
        <v>4.4999999999999998E-2</v>
      </c>
      <c r="E25" s="376">
        <v>0.05</v>
      </c>
      <c r="F25" s="376">
        <v>5.5E-2</v>
      </c>
      <c r="G25" s="386">
        <v>0.06</v>
      </c>
      <c r="H25" s="376">
        <v>6.5000000000000002E-2</v>
      </c>
      <c r="I25" s="376">
        <v>7.0000000000000007E-2</v>
      </c>
      <c r="J25" s="376">
        <v>7.4999999999999997E-2</v>
      </c>
      <c r="K25" s="376">
        <v>0.08</v>
      </c>
    </row>
    <row r="26" spans="1:30" x14ac:dyDescent="0.2">
      <c r="B26" s="376">
        <v>0.05</v>
      </c>
      <c r="C26" s="379">
        <f>IFERROR(IRR(N300:S300),"n/a")</f>
        <v>0.16717343167857446</v>
      </c>
      <c r="D26" s="379">
        <f>IFERROR(IRR(N301:S301),"n/a")</f>
        <v>0.11055108348362253</v>
      </c>
      <c r="E26" s="379">
        <f>IFERROR(IRR(N302:S302),"n/a")</f>
        <v>5.5040531576053153E-2</v>
      </c>
      <c r="F26" s="379">
        <f>IFERROR(IRR(N303:S303),"n/a")</f>
        <v>-1.1797720427401126E-3</v>
      </c>
      <c r="G26" s="387">
        <f>IFERROR(IRR(N304:S304),"n/a")</f>
        <v>-6.0314324872173808E-2</v>
      </c>
      <c r="H26" s="379">
        <f>IFERROR(IRR(N305:S305),"n/a")</f>
        <v>-0.12568883529615393</v>
      </c>
      <c r="I26" s="379">
        <f>IFERROR(IRR(N306:S306),"n/a")</f>
        <v>-0.20373510076728529</v>
      </c>
      <c r="J26" s="379">
        <f>IFERROR(IRR(N307:S307),"n/a")</f>
        <v>-0.31238232211040584</v>
      </c>
      <c r="K26" s="379">
        <f>IFERROR(IRR(N308:S308),"n/a")</f>
        <v>-0.65738392569924065</v>
      </c>
      <c r="V26" s="393">
        <f>'Cash Flow'!$I$21+PMT(Assumptions!$C$54/12,Assumptions!$C$56*12,E10)*12+('Cash Flow'!$I$21/0.04)*(1-Assumptions!$C$64)-(E10+CUMPRINC(Assumptions!$C$54/12,Assumptions!$C$56*12,E10,1,MIN(Assumptions!$C$62*12-Assumptions!$C$55,Assumptions!$C$56*12),0))</f>
        <v>151303.3886195106</v>
      </c>
      <c r="W26" s="393">
        <f>'Cash Flow'!$I$21+PMT(Assumptions!$C$54/12,Assumptions!$C$56*12,E10)*12+('Cash Flow'!$I$21/0.045)*(1-Assumptions!$C$64)-(E10+CUMPRINC(Assumptions!$C$54/12,Assumptions!$C$56*12,E10,1,MIN(Assumptions!$C$62*12-Assumptions!$C$55,Assumptions!$C$56*12),0))</f>
        <v>117730.7238242304</v>
      </c>
      <c r="X26" s="393">
        <f>'Cash Flow'!$I$21+PMT(Assumptions!$C$54/12,Assumptions!$C$56*12,E10)*12+('Cash Flow'!$I$21/0.05)*(1-Assumptions!$C$64)-(E10+CUMPRINC(Assumptions!$C$54/12,Assumptions!$C$56*12,E10,1,MIN(Assumptions!$C$62*12-Assumptions!$C$55,Assumptions!$C$56*12),0))</f>
        <v>90872.59198800617</v>
      </c>
      <c r="Y26" s="393">
        <f>'Cash Flow'!$I$21+PMT(Assumptions!$C$54/12,Assumptions!$C$56*12,E10)*12+('Cash Flow'!$I$21/0.055)*(1-Assumptions!$C$64)-(E10+CUMPRINC(Assumptions!$C$54/12,Assumptions!$C$56*12,E10,1,MIN(Assumptions!$C$62*12-Assumptions!$C$55,Assumptions!$C$56*12),0))</f>
        <v>68897.75684927727</v>
      </c>
      <c r="Z26" s="393">
        <f>'Cash Flow'!$I$21+PMT(Assumptions!$C$54/12,Assumptions!$C$56*12,E10)*12+('Cash Flow'!$I$21/0.06)*(1-Assumptions!$C$64)-(E10+CUMPRINC(Assumptions!$C$54/12,Assumptions!$C$56*12,E10,1,MIN(Assumptions!$C$62*12-Assumptions!$C$55,Assumptions!$C$56*12),0))</f>
        <v>50585.394233669853</v>
      </c>
      <c r="AA26" s="393">
        <f>'Cash Flow'!$I$21+PMT(Assumptions!$C$54/12,Assumptions!$C$56*12,E10)*12+('Cash Flow'!$I$21/0.065)*(1-Assumptions!$C$64)-(E10+CUMPRINC(Assumptions!$C$54/12,Assumptions!$C$56*12,E10,1,MIN(Assumptions!$C$62*12-Assumptions!$C$55,Assumptions!$C$56*12),0))</f>
        <v>35090.318174309738</v>
      </c>
      <c r="AB26" s="393">
        <f>'Cash Flow'!$I$21+PMT(Assumptions!$C$54/12,Assumptions!$C$56*12,E10)*12+('Cash Flow'!$I$21/0.07)*(1-Assumptions!$C$64)-(E10+CUMPRINC(Assumptions!$C$54/12,Assumptions!$C$56*12,E10,1,MIN(Assumptions!$C$62*12-Assumptions!$C$55,Assumptions!$C$56*12),0))</f>
        <v>21808.824409143912</v>
      </c>
      <c r="AC26" s="393">
        <f>'Cash Flow'!$I$21+PMT(Assumptions!$C$54/12,Assumptions!$C$56*12,E10)*12+('Cash Flow'!$I$21/0.075)*(1-Assumptions!$C$64)-(E10+CUMPRINC(Assumptions!$C$54/12,Assumptions!$C$56*12,E10,1,MIN(Assumptions!$C$62*12-Assumptions!$C$55,Assumptions!$C$56*12),0))</f>
        <v>10298.196479333536</v>
      </c>
      <c r="AD26" s="393">
        <f>'Cash Flow'!$I$21+PMT(Assumptions!$C$54/12,Assumptions!$C$56*12,E10)*12+('Cash Flow'!$I$21/0.08)*(1-Assumptions!$C$64)-(E10+CUMPRINC(Assumptions!$C$54/12,Assumptions!$C$56*12,E10,1,MIN(Assumptions!$C$62*12-Assumptions!$C$55,Assumptions!$C$56*12),0))</f>
        <v>226.39704074943438</v>
      </c>
    </row>
    <row r="27" spans="1:30" x14ac:dyDescent="0.2">
      <c r="B27" s="376">
        <v>0.06</v>
      </c>
      <c r="C27" s="378">
        <f>IFERROR(IRR(N309:S309),"n/a")</f>
        <v>0.27009246682247978</v>
      </c>
      <c r="D27" s="378">
        <f>IFERROR(IRR(N310:S310),"n/a")</f>
        <v>0.22053128482335405</v>
      </c>
      <c r="E27" s="378">
        <f>IFERROR(IRR(N311:S311),"n/a")</f>
        <v>0.17391255494932567</v>
      </c>
      <c r="F27" s="378">
        <f>IFERROR(IRR(N312:S312),"n/a")</f>
        <v>0.12913369193616298</v>
      </c>
      <c r="G27" s="387">
        <f>IFERROR(IRR(N313:S313),"n/a")</f>
        <v>8.5245031358821333E-2</v>
      </c>
      <c r="H27" s="378">
        <f>IFERROR(IRR(N314:S314),"n/a")</f>
        <v>4.1328085998960651E-2</v>
      </c>
      <c r="I27" s="378">
        <f>IFERROR(IRR(N315:S315),"n/a")</f>
        <v>-3.6291451415321196E-3</v>
      </c>
      <c r="J27" s="378">
        <f>IFERROR(IRR(N316:S316),"n/a")</f>
        <v>-5.0908901490552716E-2</v>
      </c>
      <c r="K27" s="378">
        <f>IFERROR(IRR(N317:S317),"n/a")</f>
        <v>-0.10239376782815945</v>
      </c>
      <c r="V27" s="393">
        <f>'Cash Flow'!$I$21+PMT(Assumptions!$C$54/12,Assumptions!$C$56*12,E11)*12+('Cash Flow'!$I$21/0.04)*(1-Assumptions!$C$64)-(E11+CUMPRINC(Assumptions!$C$54/12,Assumptions!$C$56*12,E11,1,MIN(Assumptions!$C$62*12-Assumptions!$C$55,Assumptions!$C$56*12),0))</f>
        <v>178500.62364902633</v>
      </c>
      <c r="W27" s="393">
        <f>'Cash Flow'!$I$21+PMT(Assumptions!$C$54/12,Assumptions!$C$56*12,E11)*12+('Cash Flow'!$I$21/0.045)*(1-Assumptions!$C$64)-(E11+CUMPRINC(Assumptions!$C$54/12,Assumptions!$C$56*12,E11,1,MIN(Assumptions!$C$62*12-Assumptions!$C$55,Assumptions!$C$56*12),0))</f>
        <v>144927.95885374612</v>
      </c>
      <c r="X27" s="393">
        <f>'Cash Flow'!$I$21+PMT(Assumptions!$C$54/12,Assumptions!$C$56*12,E11)*12+('Cash Flow'!$I$21/0.05)*(1-Assumptions!$C$64)-(E11+CUMPRINC(Assumptions!$C$54/12,Assumptions!$C$56*12,E11,1,MIN(Assumptions!$C$62*12-Assumptions!$C$55,Assumptions!$C$56*12),0))</f>
        <v>118069.82701752188</v>
      </c>
      <c r="Y27" s="393">
        <f>'Cash Flow'!$I$21+PMT(Assumptions!$C$54/12,Assumptions!$C$56*12,E11)*12+('Cash Flow'!$I$21/0.055)*(1-Assumptions!$C$64)-(E11+CUMPRINC(Assumptions!$C$54/12,Assumptions!$C$56*12,E11,1,MIN(Assumptions!$C$62*12-Assumptions!$C$55,Assumptions!$C$56*12),0))</f>
        <v>96094.991878792978</v>
      </c>
      <c r="Z27" s="393">
        <f>'Cash Flow'!$I$21+PMT(Assumptions!$C$54/12,Assumptions!$C$56*12,E11)*12+('Cash Flow'!$I$21/0.06)*(1-Assumptions!$C$64)-(E11+CUMPRINC(Assumptions!$C$54/12,Assumptions!$C$56*12,E11,1,MIN(Assumptions!$C$62*12-Assumptions!$C$55,Assumptions!$C$56*12),0))</f>
        <v>77782.629263185561</v>
      </c>
      <c r="AA27" s="393">
        <f>'Cash Flow'!$I$21+PMT(Assumptions!$C$54/12,Assumptions!$C$56*12,E11)*12+('Cash Flow'!$I$21/0.065)*(1-Assumptions!$C$64)-(E11+CUMPRINC(Assumptions!$C$54/12,Assumptions!$C$56*12,E11,1,MIN(Assumptions!$C$62*12-Assumptions!$C$55,Assumptions!$C$56*12),0))</f>
        <v>62287.553203825446</v>
      </c>
      <c r="AB27" s="393">
        <f>'Cash Flow'!$I$21+PMT(Assumptions!$C$54/12,Assumptions!$C$56*12,E11)*12+('Cash Flow'!$I$21/0.07)*(1-Assumptions!$C$64)-(E11+CUMPRINC(Assumptions!$C$54/12,Assumptions!$C$56*12,E11,1,MIN(Assumptions!$C$62*12-Assumptions!$C$55,Assumptions!$C$56*12),0))</f>
        <v>49006.05943865962</v>
      </c>
      <c r="AC27" s="393">
        <f>'Cash Flow'!$I$21+PMT(Assumptions!$C$54/12,Assumptions!$C$56*12,E11)*12+('Cash Flow'!$I$21/0.075)*(1-Assumptions!$C$64)-(E11+CUMPRINC(Assumptions!$C$54/12,Assumptions!$C$56*12,E11,1,MIN(Assumptions!$C$62*12-Assumptions!$C$55,Assumptions!$C$56*12),0))</f>
        <v>37495.431508849244</v>
      </c>
      <c r="AD27" s="393">
        <f>'Cash Flow'!$I$21+PMT(Assumptions!$C$54/12,Assumptions!$C$56*12,E11)*12+('Cash Flow'!$I$21/0.08)*(1-Assumptions!$C$64)-(E11+CUMPRINC(Assumptions!$C$54/12,Assumptions!$C$56*12,E11,1,MIN(Assumptions!$C$62*12-Assumptions!$C$55,Assumptions!$C$56*12),0))</f>
        <v>27423.632070265143</v>
      </c>
    </row>
    <row r="28" spans="1:30" x14ac:dyDescent="0.2">
      <c r="B28" s="376">
        <v>7.0000000000000007E-2</v>
      </c>
      <c r="C28" s="379">
        <f>IFERROR(IRR(N318:S318),"n/a")</f>
        <v>0.35323642607698602</v>
      </c>
      <c r="D28" s="379">
        <f>IFERROR(IRR(N319:S319),"n/a")</f>
        <v>0.30729513926950092</v>
      </c>
      <c r="E28" s="379">
        <f>IFERROR(IRR(N320:S320),"n/a")</f>
        <v>0.2649812924581576</v>
      </c>
      <c r="F28" s="379">
        <f>IFERROR(IRR(N321:S321),"n/a")</f>
        <v>0.22532955739598615</v>
      </c>
      <c r="G28" s="387">
        <f>IFERROR(IRR(N322:S322),"n/a")</f>
        <v>0.18759618142171952</v>
      </c>
      <c r="H28" s="379">
        <f>IFERROR(IRR(N323:S323),"n/a")</f>
        <v>0.15117178315042046</v>
      </c>
      <c r="I28" s="379">
        <f>IFERROR(IRR(N324:S324),"n/a")</f>
        <v>0.11552186398110198</v>
      </c>
      <c r="J28" s="379">
        <f>IFERROR(IRR(N325:S325),"n/a")</f>
        <v>8.0139991864729199E-2</v>
      </c>
      <c r="K28" s="379">
        <f>IFERROR(IRR(N326:S326),"n/a")</f>
        <v>4.4503097809017733E-2</v>
      </c>
      <c r="V28" s="393">
        <f>'Cash Flow'!$I$21+PMT(Assumptions!$C$54/12,Assumptions!$C$56*12,E12)*12+('Cash Flow'!$I$21/0.04)*(1-Assumptions!$C$64)-(E12+CUMPRINC(Assumptions!$C$54/12,Assumptions!$C$56*12,E12,1,MIN(Assumptions!$C$62*12-Assumptions!$C$55,Assumptions!$C$56*12),0))</f>
        <v>197927.22009868041</v>
      </c>
      <c r="W28" s="393">
        <f>'Cash Flow'!$I$21+PMT(Assumptions!$C$54/12,Assumptions!$C$56*12,E12)*12+('Cash Flow'!$I$21/0.045)*(1-Assumptions!$C$64)-(E12+CUMPRINC(Assumptions!$C$54/12,Assumptions!$C$56*12,E12,1,MIN(Assumptions!$C$62*12-Assumptions!$C$55,Assumptions!$C$56*12),0))</f>
        <v>164354.55530340021</v>
      </c>
      <c r="X28" s="393">
        <f>'Cash Flow'!$I$21+PMT(Assumptions!$C$54/12,Assumptions!$C$56*12,E12)*12+('Cash Flow'!$I$21/0.05)*(1-Assumptions!$C$64)-(E12+CUMPRINC(Assumptions!$C$54/12,Assumptions!$C$56*12,E12,1,MIN(Assumptions!$C$62*12-Assumptions!$C$55,Assumptions!$C$56*12),0))</f>
        <v>137496.42346717598</v>
      </c>
      <c r="Y28" s="393">
        <f>'Cash Flow'!$I$21+PMT(Assumptions!$C$54/12,Assumptions!$C$56*12,E12)*12+('Cash Flow'!$I$21/0.055)*(1-Assumptions!$C$64)-(E12+CUMPRINC(Assumptions!$C$54/12,Assumptions!$C$56*12,E12,1,MIN(Assumptions!$C$62*12-Assumptions!$C$55,Assumptions!$C$56*12),0))</f>
        <v>115521.58832844706</v>
      </c>
      <c r="Z28" s="393">
        <f>'Cash Flow'!$I$21+PMT(Assumptions!$C$54/12,Assumptions!$C$56*12,E12)*12+('Cash Flow'!$I$21/0.06)*(1-Assumptions!$C$64)-(E12+CUMPRINC(Assumptions!$C$54/12,Assumptions!$C$56*12,E12,1,MIN(Assumptions!$C$62*12-Assumptions!$C$55,Assumptions!$C$56*12),0))</f>
        <v>97209.225712839645</v>
      </c>
      <c r="AA28" s="393">
        <f>'Cash Flow'!$I$21+PMT(Assumptions!$C$54/12,Assumptions!$C$56*12,E12)*12+('Cash Flow'!$I$21/0.065)*(1-Assumptions!$C$64)-(E12+CUMPRINC(Assumptions!$C$54/12,Assumptions!$C$56*12,E12,1,MIN(Assumptions!$C$62*12-Assumptions!$C$55,Assumptions!$C$56*12),0))</f>
        <v>81714.14965347953</v>
      </c>
      <c r="AB28" s="393">
        <f>'Cash Flow'!$I$21+PMT(Assumptions!$C$54/12,Assumptions!$C$56*12,E12)*12+('Cash Flow'!$I$21/0.07)*(1-Assumptions!$C$64)-(E12+CUMPRINC(Assumptions!$C$54/12,Assumptions!$C$56*12,E12,1,MIN(Assumptions!$C$62*12-Assumptions!$C$55,Assumptions!$C$56*12),0))</f>
        <v>68432.655888313704</v>
      </c>
      <c r="AC28" s="393">
        <f>'Cash Flow'!$I$21+PMT(Assumptions!$C$54/12,Assumptions!$C$56*12,E12)*12+('Cash Flow'!$I$21/0.075)*(1-Assumptions!$C$64)-(E12+CUMPRINC(Assumptions!$C$54/12,Assumptions!$C$56*12,E12,1,MIN(Assumptions!$C$62*12-Assumptions!$C$55,Assumptions!$C$56*12),0))</f>
        <v>56922.027958503328</v>
      </c>
      <c r="AD28" s="393">
        <f>'Cash Flow'!$I$21+PMT(Assumptions!$C$54/12,Assumptions!$C$56*12,E12)*12+('Cash Flow'!$I$21/0.08)*(1-Assumptions!$C$64)-(E12+CUMPRINC(Assumptions!$C$54/12,Assumptions!$C$56*12,E12,1,MIN(Assumptions!$C$62*12-Assumptions!$C$55,Assumptions!$C$56*12),0))</f>
        <v>46850.228519919227</v>
      </c>
    </row>
    <row r="29" spans="1:30" x14ac:dyDescent="0.2">
      <c r="B29" s="376">
        <v>0.08</v>
      </c>
      <c r="C29" s="378">
        <f>IFERROR(IRR(N327:S327),"n/a")</f>
        <v>0.42429446608552257</v>
      </c>
      <c r="D29" s="378">
        <f>IFERROR(IRR(N328:S328),"n/a")</f>
        <v>0.38050776011137377</v>
      </c>
      <c r="E29" s="378">
        <f>IFERROR(IRR(N329:S329),"n/a")</f>
        <v>0.34069345465845657</v>
      </c>
      <c r="F29" s="378">
        <f>IFERROR(IRR(N330:S330),"n/a")</f>
        <v>0.30391848655663756</v>
      </c>
      <c r="G29" s="387">
        <f>IFERROR(IRR(N331:S331),"n/a")</f>
        <v>0.26949006364224215</v>
      </c>
      <c r="H29" s="378">
        <f>IFERROR(IRR(N332:S332),"n/a")</f>
        <v>0.23687184819547058</v>
      </c>
      <c r="I29" s="378">
        <f>IFERROR(IRR(N333:S333),"n/a")</f>
        <v>0.20563115235972207</v>
      </c>
      <c r="J29" s="378">
        <f>IFERROR(IRR(N334:S334),"n/a")</f>
        <v>0.17540352211889987</v>
      </c>
      <c r="K29" s="378">
        <f>IFERROR(IRR(N335:S335),"n/a")</f>
        <v>0.14586717847181019</v>
      </c>
      <c r="V29" s="393">
        <f>'Cash Flow'!$I$21+PMT(Assumptions!$C$54/12,Assumptions!$C$56*12,E13)*12+('Cash Flow'!$I$21/0.04)*(1-Assumptions!$C$64)-(E13+CUMPRINC(Assumptions!$C$54/12,Assumptions!$C$56*12,E13,1,MIN(Assumptions!$C$62*12-Assumptions!$C$55,Assumptions!$C$56*12),0))</f>
        <v>212497.16743592091</v>
      </c>
      <c r="W29" s="393">
        <f>'Cash Flow'!$I$21+PMT(Assumptions!$C$54/12,Assumptions!$C$56*12,E13)*12+('Cash Flow'!$I$21/0.045)*(1-Assumptions!$C$64)-(E13+CUMPRINC(Assumptions!$C$54/12,Assumptions!$C$56*12,E13,1,MIN(Assumptions!$C$62*12-Assumptions!$C$55,Assumptions!$C$56*12),0))</f>
        <v>178924.50264064071</v>
      </c>
      <c r="X29" s="393">
        <f>'Cash Flow'!$I$21+PMT(Assumptions!$C$54/12,Assumptions!$C$56*12,E13)*12+('Cash Flow'!$I$21/0.05)*(1-Assumptions!$C$64)-(E13+CUMPRINC(Assumptions!$C$54/12,Assumptions!$C$56*12,E13,1,MIN(Assumptions!$C$62*12-Assumptions!$C$55,Assumptions!$C$56*12),0))</f>
        <v>152066.37080441654</v>
      </c>
      <c r="Y29" s="393">
        <f>'Cash Flow'!$I$21+PMT(Assumptions!$C$54/12,Assumptions!$C$56*12,E13)*12+('Cash Flow'!$I$21/0.055)*(1-Assumptions!$C$64)-(E13+CUMPRINC(Assumptions!$C$54/12,Assumptions!$C$56*12,E13,1,MIN(Assumptions!$C$62*12-Assumptions!$C$55,Assumptions!$C$56*12),0))</f>
        <v>130091.53566568762</v>
      </c>
      <c r="Z29" s="393">
        <f>'Cash Flow'!$I$21+PMT(Assumptions!$C$54/12,Assumptions!$C$56*12,E13)*12+('Cash Flow'!$I$21/0.06)*(1-Assumptions!$C$64)-(E13+CUMPRINC(Assumptions!$C$54/12,Assumptions!$C$56*12,E13,1,MIN(Assumptions!$C$62*12-Assumptions!$C$55,Assumptions!$C$56*12),0))</f>
        <v>111779.17305008021</v>
      </c>
      <c r="AA29" s="393">
        <f>'Cash Flow'!$I$21+PMT(Assumptions!$C$54/12,Assumptions!$C$56*12,E13)*12+('Cash Flow'!$I$21/0.065)*(1-Assumptions!$C$64)-(E13+CUMPRINC(Assumptions!$C$54/12,Assumptions!$C$56*12,E13,1,MIN(Assumptions!$C$62*12-Assumptions!$C$55,Assumptions!$C$56*12),0))</f>
        <v>96284.096990720092</v>
      </c>
      <c r="AB29" s="393">
        <f>'Cash Flow'!$I$21+PMT(Assumptions!$C$54/12,Assumptions!$C$56*12,E13)*12+('Cash Flow'!$I$21/0.07)*(1-Assumptions!$C$64)-(E13+CUMPRINC(Assumptions!$C$54/12,Assumptions!$C$56*12,E13,1,MIN(Assumptions!$C$62*12-Assumptions!$C$55,Assumptions!$C$56*12),0))</f>
        <v>83002.603225554267</v>
      </c>
      <c r="AC29" s="393">
        <f>'Cash Flow'!$I$21+PMT(Assumptions!$C$54/12,Assumptions!$C$56*12,E13)*12+('Cash Flow'!$I$21/0.075)*(1-Assumptions!$C$64)-(E13+CUMPRINC(Assumptions!$C$54/12,Assumptions!$C$56*12,E13,1,MIN(Assumptions!$C$62*12-Assumptions!$C$55,Assumptions!$C$56*12),0))</f>
        <v>71491.97529574389</v>
      </c>
      <c r="AD29" s="393">
        <f>'Cash Flow'!$I$21+PMT(Assumptions!$C$54/12,Assumptions!$C$56*12,E13)*12+('Cash Flow'!$I$21/0.08)*(1-Assumptions!$C$64)-(E13+CUMPRINC(Assumptions!$C$54/12,Assumptions!$C$56*12,E13,1,MIN(Assumptions!$C$62*12-Assumptions!$C$55,Assumptions!$C$56*12),0))</f>
        <v>61420.175857159789</v>
      </c>
    </row>
    <row r="30" spans="1:30" x14ac:dyDescent="0.2">
      <c r="B30" s="376">
        <v>0.09</v>
      </c>
      <c r="C30" s="379">
        <f>IFERROR(IRR(N336:S336),"n/a")</f>
        <v>0.4871409098570425</v>
      </c>
      <c r="D30" s="379">
        <f>IFERROR(IRR(N337:S337),"n/a")</f>
        <v>0.44475803644038092</v>
      </c>
      <c r="E30" s="379">
        <f>IFERROR(IRR(N338:S338),"n/a")</f>
        <v>0.40655557773455753</v>
      </c>
      <c r="F30" s="379">
        <f>IFERROR(IRR(N339:S339),"n/a")</f>
        <v>0.37160436532101837</v>
      </c>
      <c r="G30" s="387">
        <f>IFERROR(IRR(N340:S340),"n/a")</f>
        <v>0.3392240792916783</v>
      </c>
      <c r="H30" s="379">
        <f>IFERROR(IRR(N341:S341),"n/a")</f>
        <v>0.30889893763901921</v>
      </c>
      <c r="I30" s="379">
        <f>IFERROR(IRR(N342:S342),"n/a")</f>
        <v>0.28022541386022359</v>
      </c>
      <c r="J30" s="379">
        <f>IFERROR(IRR(N343:S343),"n/a")</f>
        <v>0.25287826721491813</v>
      </c>
      <c r="K30" s="379">
        <f>IFERROR(IRR(N344:S344),"n/a")</f>
        <v>0.22658748892911973</v>
      </c>
      <c r="V30" s="393">
        <f>'Cash Flow'!$I$21+PMT(Assumptions!$C$54/12,Assumptions!$C$56*12,E14)*12+('Cash Flow'!$I$21/0.04)*(1-Assumptions!$C$64)-(E14+CUMPRINC(Assumptions!$C$54/12,Assumptions!$C$56*12,E14,1,MIN(Assumptions!$C$62*12-Assumptions!$C$55,Assumptions!$C$56*12),0))</f>
        <v>223829.34869821917</v>
      </c>
      <c r="W30" s="393">
        <f>'Cash Flow'!$I$21+PMT(Assumptions!$C$54/12,Assumptions!$C$56*12,E14)*12+('Cash Flow'!$I$21/0.045)*(1-Assumptions!$C$64)-(E14+CUMPRINC(Assumptions!$C$54/12,Assumptions!$C$56*12,E14,1,MIN(Assumptions!$C$62*12-Assumptions!$C$55,Assumptions!$C$56*12),0))</f>
        <v>190256.68390293897</v>
      </c>
      <c r="X30" s="393">
        <f>'Cash Flow'!$I$21+PMT(Assumptions!$C$54/12,Assumptions!$C$56*12,E14)*12+('Cash Flow'!$I$21/0.05)*(1-Assumptions!$C$64)-(E14+CUMPRINC(Assumptions!$C$54/12,Assumptions!$C$56*12,E14,1,MIN(Assumptions!$C$62*12-Assumptions!$C$55,Assumptions!$C$56*12),0))</f>
        <v>163398.55206671474</v>
      </c>
      <c r="Y30" s="393">
        <f>'Cash Flow'!$I$21+PMT(Assumptions!$C$54/12,Assumptions!$C$56*12,E14)*12+('Cash Flow'!$I$21/0.055)*(1-Assumptions!$C$64)-(E14+CUMPRINC(Assumptions!$C$54/12,Assumptions!$C$56*12,E14,1,MIN(Assumptions!$C$62*12-Assumptions!$C$55,Assumptions!$C$56*12),0))</f>
        <v>141423.71692798584</v>
      </c>
      <c r="Z30" s="393">
        <f>'Cash Flow'!$I$21+PMT(Assumptions!$C$54/12,Assumptions!$C$56*12,E14)*12+('Cash Flow'!$I$21/0.06)*(1-Assumptions!$C$64)-(E14+CUMPRINC(Assumptions!$C$54/12,Assumptions!$C$56*12,E14,1,MIN(Assumptions!$C$62*12-Assumptions!$C$55,Assumptions!$C$56*12),0))</f>
        <v>123111.3543123784</v>
      </c>
      <c r="AA30" s="393">
        <f>'Cash Flow'!$I$21+PMT(Assumptions!$C$54/12,Assumptions!$C$56*12,E14)*12+('Cash Flow'!$I$21/0.065)*(1-Assumptions!$C$64)-(E14+CUMPRINC(Assumptions!$C$54/12,Assumptions!$C$56*12,E14,1,MIN(Assumptions!$C$62*12-Assumptions!$C$55,Assumptions!$C$56*12),0))</f>
        <v>107616.27825301829</v>
      </c>
      <c r="AB30" s="393">
        <f>'Cash Flow'!$I$21+PMT(Assumptions!$C$54/12,Assumptions!$C$56*12,E14)*12+('Cash Flow'!$I$21/0.07)*(1-Assumptions!$C$64)-(E14+CUMPRINC(Assumptions!$C$54/12,Assumptions!$C$56*12,E14,1,MIN(Assumptions!$C$62*12-Assumptions!$C$55,Assumptions!$C$56*12),0))</f>
        <v>94334.784487852463</v>
      </c>
      <c r="AC30" s="393">
        <f>'Cash Flow'!$I$21+PMT(Assumptions!$C$54/12,Assumptions!$C$56*12,E14)*12+('Cash Flow'!$I$21/0.075)*(1-Assumptions!$C$64)-(E14+CUMPRINC(Assumptions!$C$54/12,Assumptions!$C$56*12,E14,1,MIN(Assumptions!$C$62*12-Assumptions!$C$55,Assumptions!$C$56*12),0))</f>
        <v>82824.156558042087</v>
      </c>
      <c r="AD30" s="393">
        <f>'Cash Flow'!$I$21+PMT(Assumptions!$C$54/12,Assumptions!$C$56*12,E14)*12+('Cash Flow'!$I$21/0.08)*(1-Assumptions!$C$64)-(E14+CUMPRINC(Assumptions!$C$54/12,Assumptions!$C$56*12,E14,1,MIN(Assumptions!$C$62*12-Assumptions!$C$55,Assumptions!$C$56*12),0))</f>
        <v>72752.357119457985</v>
      </c>
    </row>
    <row r="31" spans="1:30" x14ac:dyDescent="0.2">
      <c r="B31" s="376">
        <v>0.1</v>
      </c>
      <c r="C31" s="378">
        <f>IFERROR(IRR(N345:S345),"n/a")</f>
        <v>0.54402161787967307</v>
      </c>
      <c r="D31" s="378">
        <f>IFERROR(IRR(N346:S346),"n/a")</f>
        <v>0.50261227234709183</v>
      </c>
      <c r="E31" s="378">
        <f>IFERROR(IRR(N347:S347),"n/a")</f>
        <v>0.46552480837715904</v>
      </c>
      <c r="F31" s="378">
        <f>IFERROR(IRR(N348:S348),"n/a")</f>
        <v>0.43182464870513337</v>
      </c>
      <c r="G31" s="387">
        <f>IFERROR(IRR(N349:S349),"n/a")</f>
        <v>0.40083164528291126</v>
      </c>
      <c r="H31" s="378">
        <f>IFERROR(IRR(N350:S350),"n/a")</f>
        <v>0.37203461771955015</v>
      </c>
      <c r="I31" s="378">
        <f>IFERROR(IRR(N351:S351),"n/a")</f>
        <v>0.34503856815485401</v>
      </c>
      <c r="J31" s="378">
        <f>IFERROR(IRR(N352:S352),"n/a")</f>
        <v>0.31953063824714878</v>
      </c>
      <c r="K31" s="378">
        <f>IFERROR(IRR(N353:S353),"n/a")</f>
        <v>0.29525731921695342</v>
      </c>
      <c r="V31" s="393">
        <f>'Cash Flow'!$I$21+PMT(Assumptions!$C$54/12,Assumptions!$C$56*12,E15)*12+('Cash Flow'!$I$21/0.04)*(1-Assumptions!$C$64)-(E15+CUMPRINC(Assumptions!$C$54/12,Assumptions!$C$56*12,E15,1,MIN(Assumptions!$C$62*12-Assumptions!$C$55,Assumptions!$C$56*12),0))</f>
        <v>232895.09370805777</v>
      </c>
      <c r="W31" s="393">
        <f>'Cash Flow'!$I$21+PMT(Assumptions!$C$54/12,Assumptions!$C$56*12,E15)*12+('Cash Flow'!$I$21/0.045)*(1-Assumptions!$C$64)-(E15+CUMPRINC(Assumptions!$C$54/12,Assumptions!$C$56*12,E15,1,MIN(Assumptions!$C$62*12-Assumptions!$C$55,Assumptions!$C$56*12),0))</f>
        <v>199322.42891277757</v>
      </c>
      <c r="X31" s="393">
        <f>'Cash Flow'!$I$21+PMT(Assumptions!$C$54/12,Assumptions!$C$56*12,E15)*12+('Cash Flow'!$I$21/0.05)*(1-Assumptions!$C$64)-(E15+CUMPRINC(Assumptions!$C$54/12,Assumptions!$C$56*12,E15,1,MIN(Assumptions!$C$62*12-Assumptions!$C$55,Assumptions!$C$56*12),0))</f>
        <v>172464.29707655334</v>
      </c>
      <c r="Y31" s="393">
        <f>'Cash Flow'!$I$21+PMT(Assumptions!$C$54/12,Assumptions!$C$56*12,E15)*12+('Cash Flow'!$I$21/0.055)*(1-Assumptions!$C$64)-(E15+CUMPRINC(Assumptions!$C$54/12,Assumptions!$C$56*12,E15,1,MIN(Assumptions!$C$62*12-Assumptions!$C$55,Assumptions!$C$56*12),0))</f>
        <v>150489.46193782444</v>
      </c>
      <c r="Z31" s="393">
        <f>'Cash Flow'!$I$21+PMT(Assumptions!$C$54/12,Assumptions!$C$56*12,E15)*12+('Cash Flow'!$I$21/0.06)*(1-Assumptions!$C$64)-(E15+CUMPRINC(Assumptions!$C$54/12,Assumptions!$C$56*12,E15,1,MIN(Assumptions!$C$62*12-Assumptions!$C$55,Assumptions!$C$56*12),0))</f>
        <v>132177.09932221699</v>
      </c>
      <c r="AA31" s="393">
        <f>'Cash Flow'!$I$21+PMT(Assumptions!$C$54/12,Assumptions!$C$56*12,E15)*12+('Cash Flow'!$I$21/0.065)*(1-Assumptions!$C$64)-(E15+CUMPRINC(Assumptions!$C$54/12,Assumptions!$C$56*12,E15,1,MIN(Assumptions!$C$62*12-Assumptions!$C$55,Assumptions!$C$56*12),0))</f>
        <v>116682.02326285689</v>
      </c>
      <c r="AB31" s="393">
        <f>'Cash Flow'!$I$21+PMT(Assumptions!$C$54/12,Assumptions!$C$56*12,E15)*12+('Cash Flow'!$I$21/0.07)*(1-Assumptions!$C$64)-(E15+CUMPRINC(Assumptions!$C$54/12,Assumptions!$C$56*12,E15,1,MIN(Assumptions!$C$62*12-Assumptions!$C$55,Assumptions!$C$56*12),0))</f>
        <v>103400.52949769107</v>
      </c>
      <c r="AC31" s="393">
        <f>'Cash Flow'!$I$21+PMT(Assumptions!$C$54/12,Assumptions!$C$56*12,E15)*12+('Cash Flow'!$I$21/0.075)*(1-Assumptions!$C$64)-(E15+CUMPRINC(Assumptions!$C$54/12,Assumptions!$C$56*12,E15,1,MIN(Assumptions!$C$62*12-Assumptions!$C$55,Assumptions!$C$56*12),0))</f>
        <v>91889.90156788069</v>
      </c>
      <c r="AD31" s="393">
        <f>'Cash Flow'!$I$21+PMT(Assumptions!$C$54/12,Assumptions!$C$56*12,E15)*12+('Cash Flow'!$I$21/0.08)*(1-Assumptions!$C$64)-(E15+CUMPRINC(Assumptions!$C$54/12,Assumptions!$C$56*12,E15,1,MIN(Assumptions!$C$62*12-Assumptions!$C$55,Assumptions!$C$56*12),0))</f>
        <v>81818.102129296589</v>
      </c>
    </row>
    <row r="32" spans="1:30" x14ac:dyDescent="0.2">
      <c r="B32" s="376">
        <v>0.11</v>
      </c>
      <c r="C32" s="379">
        <f>IFERROR(IRR(N354:S354),"n/a")</f>
        <v>0.59636301657970425</v>
      </c>
      <c r="D32" s="379">
        <f>IFERROR(IRR(N355:S355),"n/a")</f>
        <v>0.55566141596351781</v>
      </c>
      <c r="E32" s="379">
        <f>IFERROR(IRR(N356:S356),"n/a")</f>
        <v>0.5193862814341994</v>
      </c>
      <c r="F32" s="379">
        <f>IFERROR(IRR(N357:S357),"n/a")</f>
        <v>0.48659437504757919</v>
      </c>
      <c r="G32" s="387">
        <f>IFERROR(IRR(N358:S358),"n/a")</f>
        <v>0.45660127289973862</v>
      </c>
      <c r="H32" s="379">
        <f>IFERROR(IRR(N359:S359),"n/a")</f>
        <v>0.42889466984697888</v>
      </c>
      <c r="I32" s="379">
        <f>IFERROR(IRR(N360:S360),"n/a")</f>
        <v>0.40308090154245724</v>
      </c>
      <c r="J32" s="379">
        <f>IFERROR(IRR(N361:S361),"n/a")</f>
        <v>0.37885052906883132</v>
      </c>
      <c r="K32" s="379">
        <f>IFERROR(IRR(N362:S362),"n/a")</f>
        <v>0.3559553841260048</v>
      </c>
      <c r="V32" s="393">
        <f>'Cash Flow'!$I$21+PMT(Assumptions!$C$54/12,Assumptions!$C$56*12,E16)*12+('Cash Flow'!$I$21/0.04)*(1-Assumptions!$C$64)-(E16+CUMPRINC(Assumptions!$C$54/12,Assumptions!$C$56*12,E16,1,MIN(Assumptions!$C$62*12-Assumptions!$C$55,Assumptions!$C$56*12),0))</f>
        <v>240312.52144338016</v>
      </c>
      <c r="W32" s="393">
        <f>'Cash Flow'!$I$21+PMT(Assumptions!$C$54/12,Assumptions!$C$56*12,E16)*12+('Cash Flow'!$I$21/0.045)*(1-Assumptions!$C$64)-(E16+CUMPRINC(Assumptions!$C$54/12,Assumptions!$C$56*12,E16,1,MIN(Assumptions!$C$62*12-Assumptions!$C$55,Assumptions!$C$56*12),0))</f>
        <v>206739.85664809996</v>
      </c>
      <c r="X32" s="393">
        <f>'Cash Flow'!$I$21+PMT(Assumptions!$C$54/12,Assumptions!$C$56*12,E16)*12+('Cash Flow'!$I$21/0.05)*(1-Assumptions!$C$64)-(E16+CUMPRINC(Assumptions!$C$54/12,Assumptions!$C$56*12,E16,1,MIN(Assumptions!$C$62*12-Assumptions!$C$55,Assumptions!$C$56*12),0))</f>
        <v>179881.72481187579</v>
      </c>
      <c r="Y32" s="393">
        <f>'Cash Flow'!$I$21+PMT(Assumptions!$C$54/12,Assumptions!$C$56*12,E16)*12+('Cash Flow'!$I$21/0.055)*(1-Assumptions!$C$64)-(E16+CUMPRINC(Assumptions!$C$54/12,Assumptions!$C$56*12,E16,1,MIN(Assumptions!$C$62*12-Assumptions!$C$55,Assumptions!$C$56*12),0))</f>
        <v>157906.88967314688</v>
      </c>
      <c r="Z32" s="393">
        <f>'Cash Flow'!$I$21+PMT(Assumptions!$C$54/12,Assumptions!$C$56*12,E16)*12+('Cash Flow'!$I$21/0.06)*(1-Assumptions!$C$64)-(E16+CUMPRINC(Assumptions!$C$54/12,Assumptions!$C$56*12,E16,1,MIN(Assumptions!$C$62*12-Assumptions!$C$55,Assumptions!$C$56*12),0))</f>
        <v>139594.52705753944</v>
      </c>
      <c r="AA32" s="393">
        <f>'Cash Flow'!$I$21+PMT(Assumptions!$C$54/12,Assumptions!$C$56*12,E16)*12+('Cash Flow'!$I$21/0.065)*(1-Assumptions!$C$64)-(E16+CUMPRINC(Assumptions!$C$54/12,Assumptions!$C$56*12,E16,1,MIN(Assumptions!$C$62*12-Assumptions!$C$55,Assumptions!$C$56*12),0))</f>
        <v>124099.45099817934</v>
      </c>
      <c r="AB32" s="393">
        <f>'Cash Flow'!$I$21+PMT(Assumptions!$C$54/12,Assumptions!$C$56*12,E16)*12+('Cash Flow'!$I$21/0.07)*(1-Assumptions!$C$64)-(E16+CUMPRINC(Assumptions!$C$54/12,Assumptions!$C$56*12,E16,1,MIN(Assumptions!$C$62*12-Assumptions!$C$55,Assumptions!$C$56*12),0))</f>
        <v>110817.95723301351</v>
      </c>
      <c r="AC32" s="393">
        <f>'Cash Flow'!$I$21+PMT(Assumptions!$C$54/12,Assumptions!$C$56*12,E16)*12+('Cash Flow'!$I$21/0.075)*(1-Assumptions!$C$64)-(E16+CUMPRINC(Assumptions!$C$54/12,Assumptions!$C$56*12,E16,1,MIN(Assumptions!$C$62*12-Assumptions!$C$55,Assumptions!$C$56*12),0))</f>
        <v>99307.329303203136</v>
      </c>
      <c r="AD32" s="393">
        <f>'Cash Flow'!$I$21+PMT(Assumptions!$C$54/12,Assumptions!$C$56*12,E16)*12+('Cash Flow'!$I$21/0.08)*(1-Assumptions!$C$64)-(E16+CUMPRINC(Assumptions!$C$54/12,Assumptions!$C$56*12,E16,1,MIN(Assumptions!$C$62*12-Assumptions!$C$55,Assumptions!$C$56*12),0))</f>
        <v>89235.529864619035</v>
      </c>
    </row>
    <row r="33" spans="2:30" x14ac:dyDescent="0.2">
      <c r="B33" s="376">
        <v>0.12</v>
      </c>
      <c r="C33" s="378">
        <f>IFERROR(IRR(N363:S363),"n/a")</f>
        <v>0.64513161201230074</v>
      </c>
      <c r="D33" s="378">
        <f>IFERROR(IRR(N364:S364),"n/a")</f>
        <v>0.60496473712531373</v>
      </c>
      <c r="E33" s="378">
        <f>IFERROR(IRR(N365:S365),"n/a")</f>
        <v>0.56930633494984817</v>
      </c>
      <c r="F33" s="378">
        <f>IFERROR(IRR(N366:S366),"n/a")</f>
        <v>0.53720348656192085</v>
      </c>
      <c r="G33" s="387">
        <f>IFERROR(IRR(N367:S367),"n/a")</f>
        <v>0.50796585462325416</v>
      </c>
      <c r="H33" s="378">
        <f>IFERROR(IRR(N368:S368),"n/a")</f>
        <v>0.48107779640249126</v>
      </c>
      <c r="I33" s="378">
        <f>IFERROR(IRR(N369:S369),"n/a")</f>
        <v>0.45614418066357376</v>
      </c>
      <c r="J33" s="378">
        <f>IFERROR(IRR(N370:S370),"n/a")</f>
        <v>0.43285554643421809</v>
      </c>
      <c r="K33" s="378">
        <f>IFERROR(IRR(N371:S371),"n/a")</f>
        <v>0.41096489242796852</v>
      </c>
      <c r="V33" s="393">
        <f>'Cash Flow'!$I$21+PMT(Assumptions!$C$54/12,Assumptions!$C$56*12,E17)*12+('Cash Flow'!$I$21/0.04)*(1-Assumptions!$C$64)-(E17+CUMPRINC(Assumptions!$C$54/12,Assumptions!$C$56*12,E17,1,MIN(Assumptions!$C$62*12-Assumptions!$C$55,Assumptions!$C$56*12),0))</f>
        <v>246493.71122281559</v>
      </c>
      <c r="W33" s="393">
        <f>'Cash Flow'!$I$21+PMT(Assumptions!$C$54/12,Assumptions!$C$56*12,E17)*12+('Cash Flow'!$I$21/0.045)*(1-Assumptions!$C$64)-(E17+CUMPRINC(Assumptions!$C$54/12,Assumptions!$C$56*12,E17,1,MIN(Assumptions!$C$62*12-Assumptions!$C$55,Assumptions!$C$56*12),0))</f>
        <v>212921.04642753539</v>
      </c>
      <c r="X33" s="393">
        <f>'Cash Flow'!$I$21+PMT(Assumptions!$C$54/12,Assumptions!$C$56*12,E17)*12+('Cash Flow'!$I$21/0.05)*(1-Assumptions!$C$64)-(E17+CUMPRINC(Assumptions!$C$54/12,Assumptions!$C$56*12,E17,1,MIN(Assumptions!$C$62*12-Assumptions!$C$55,Assumptions!$C$56*12),0))</f>
        <v>186062.91459131116</v>
      </c>
      <c r="Y33" s="393">
        <f>'Cash Flow'!$I$21+PMT(Assumptions!$C$54/12,Assumptions!$C$56*12,E17)*12+('Cash Flow'!$I$21/0.055)*(1-Assumptions!$C$64)-(E17+CUMPRINC(Assumptions!$C$54/12,Assumptions!$C$56*12,E17,1,MIN(Assumptions!$C$62*12-Assumptions!$C$55,Assumptions!$C$56*12),0))</f>
        <v>164088.07945258226</v>
      </c>
      <c r="Z33" s="393">
        <f>'Cash Flow'!$I$21+PMT(Assumptions!$C$54/12,Assumptions!$C$56*12,E17)*12+('Cash Flow'!$I$21/0.06)*(1-Assumptions!$C$64)-(E17+CUMPRINC(Assumptions!$C$54/12,Assumptions!$C$56*12,E17,1,MIN(Assumptions!$C$62*12-Assumptions!$C$55,Assumptions!$C$56*12),0))</f>
        <v>145775.71683697484</v>
      </c>
      <c r="AA33" s="393">
        <f>'Cash Flow'!$I$21+PMT(Assumptions!$C$54/12,Assumptions!$C$56*12,E17)*12+('Cash Flow'!$I$21/0.065)*(1-Assumptions!$C$64)-(E17+CUMPRINC(Assumptions!$C$54/12,Assumptions!$C$56*12,E17,1,MIN(Assumptions!$C$62*12-Assumptions!$C$55,Assumptions!$C$56*12),0))</f>
        <v>130280.64077761472</v>
      </c>
      <c r="AB33" s="393">
        <f>'Cash Flow'!$I$21+PMT(Assumptions!$C$54/12,Assumptions!$C$56*12,E17)*12+('Cash Flow'!$I$21/0.07)*(1-Assumptions!$C$64)-(E17+CUMPRINC(Assumptions!$C$54/12,Assumptions!$C$56*12,E17,1,MIN(Assumptions!$C$62*12-Assumptions!$C$55,Assumptions!$C$56*12),0))</f>
        <v>116999.1470124489</v>
      </c>
      <c r="AC33" s="393">
        <f>'Cash Flow'!$I$21+PMT(Assumptions!$C$54/12,Assumptions!$C$56*12,E17)*12+('Cash Flow'!$I$21/0.075)*(1-Assumptions!$C$64)-(E17+CUMPRINC(Assumptions!$C$54/12,Assumptions!$C$56*12,E17,1,MIN(Assumptions!$C$62*12-Assumptions!$C$55,Assumptions!$C$56*12),0))</f>
        <v>105488.51908263852</v>
      </c>
      <c r="AD33" s="393">
        <f>'Cash Flow'!$I$21+PMT(Assumptions!$C$54/12,Assumptions!$C$56*12,E17)*12+('Cash Flow'!$I$21/0.08)*(1-Assumptions!$C$64)-(E17+CUMPRINC(Assumptions!$C$54/12,Assumptions!$C$56*12,E17,1,MIN(Assumptions!$C$62*12-Assumptions!$C$55,Assumptions!$C$56*12),0))</f>
        <v>95416.719644054421</v>
      </c>
    </row>
    <row r="34" spans="2:30" x14ac:dyDescent="0.2">
      <c r="B34" s="376">
        <v>0.13</v>
      </c>
      <c r="C34" s="379">
        <f>IFERROR(IRR(N372:S372),"n/a")</f>
        <v>0.69101471581405716</v>
      </c>
      <c r="D34" s="379">
        <f>IFERROR(IRR(N373:S373),"n/a")</f>
        <v>0.65126558124652245</v>
      </c>
      <c r="E34" s="379">
        <f>IFERROR(IRR(N374:S374),"n/a")</f>
        <v>0.6160919721475604</v>
      </c>
      <c r="F34" s="379">
        <f>IFERROR(IRR(N375:S375),"n/a")</f>
        <v>0.58453116989428833</v>
      </c>
      <c r="G34" s="387">
        <f>IFERROR(IRR(N376:S376),"n/a")</f>
        <v>0.55588641311974074</v>
      </c>
      <c r="H34" s="379">
        <f>IFERROR(IRR(N377:S377),"n/a")</f>
        <v>0.5296378878318726</v>
      </c>
      <c r="I34" s="379">
        <f>IFERROR(IRR(N378:S378),"n/a")</f>
        <v>0.5053878693932965</v>
      </c>
      <c r="J34" s="379">
        <f>IFERROR(IRR(N379:S379),"n/a")</f>
        <v>0.48282546113974911</v>
      </c>
      <c r="K34" s="379">
        <f>IFERROR(IRR(N380:S380),"n/a")</f>
        <v>0.46170311606133541</v>
      </c>
      <c r="V34" s="393">
        <f>'Cash Flow'!$I$21+PMT(Assumptions!$C$54/12,Assumptions!$C$56*12,E18)*12+('Cash Flow'!$I$21/0.04)*(1-Assumptions!$C$64)-(E18+CUMPRINC(Assumptions!$C$54/12,Assumptions!$C$56*12,E18,1,MIN(Assumptions!$C$62*12-Assumptions!$C$55,Assumptions!$C$56*12),0))</f>
        <v>251723.94872849173</v>
      </c>
      <c r="W34" s="393">
        <f>'Cash Flow'!$I$21+PMT(Assumptions!$C$54/12,Assumptions!$C$56*12,E18)*12+('Cash Flow'!$I$21/0.045)*(1-Assumptions!$C$64)-(E18+CUMPRINC(Assumptions!$C$54/12,Assumptions!$C$56*12,E18,1,MIN(Assumptions!$C$62*12-Assumptions!$C$55,Assumptions!$C$56*12),0))</f>
        <v>218151.28393321153</v>
      </c>
      <c r="X34" s="393">
        <f>'Cash Flow'!$I$21+PMT(Assumptions!$C$54/12,Assumptions!$C$56*12,E18)*12+('Cash Flow'!$I$21/0.05)*(1-Assumptions!$C$64)-(E18+CUMPRINC(Assumptions!$C$54/12,Assumptions!$C$56*12,E18,1,MIN(Assumptions!$C$62*12-Assumptions!$C$55,Assumptions!$C$56*12),0))</f>
        <v>191293.15209698727</v>
      </c>
      <c r="Y34" s="393">
        <f>'Cash Flow'!$I$21+PMT(Assumptions!$C$54/12,Assumptions!$C$56*12,E18)*12+('Cash Flow'!$I$21/0.055)*(1-Assumptions!$C$64)-(E18+CUMPRINC(Assumptions!$C$54/12,Assumptions!$C$56*12,E18,1,MIN(Assumptions!$C$62*12-Assumptions!$C$55,Assumptions!$C$56*12),0))</f>
        <v>169318.31695825837</v>
      </c>
      <c r="Z34" s="393">
        <f>'Cash Flow'!$I$21+PMT(Assumptions!$C$54/12,Assumptions!$C$56*12,E18)*12+('Cash Flow'!$I$21/0.06)*(1-Assumptions!$C$64)-(E18+CUMPRINC(Assumptions!$C$54/12,Assumptions!$C$56*12,E18,1,MIN(Assumptions!$C$62*12-Assumptions!$C$55,Assumptions!$C$56*12),0))</f>
        <v>151005.95434265095</v>
      </c>
      <c r="AA34" s="393">
        <f>'Cash Flow'!$I$21+PMT(Assumptions!$C$54/12,Assumptions!$C$56*12,E18)*12+('Cash Flow'!$I$21/0.065)*(1-Assumptions!$C$64)-(E18+CUMPRINC(Assumptions!$C$54/12,Assumptions!$C$56*12,E18,1,MIN(Assumptions!$C$62*12-Assumptions!$C$55,Assumptions!$C$56*12),0))</f>
        <v>135510.87828329083</v>
      </c>
      <c r="AB34" s="393">
        <f>'Cash Flow'!$I$21+PMT(Assumptions!$C$54/12,Assumptions!$C$56*12,E18)*12+('Cash Flow'!$I$21/0.07)*(1-Assumptions!$C$64)-(E18+CUMPRINC(Assumptions!$C$54/12,Assumptions!$C$56*12,E18,1,MIN(Assumptions!$C$62*12-Assumptions!$C$55,Assumptions!$C$56*12),0))</f>
        <v>122229.38451812501</v>
      </c>
      <c r="AC34" s="393">
        <f>'Cash Flow'!$I$21+PMT(Assumptions!$C$54/12,Assumptions!$C$56*12,E18)*12+('Cash Flow'!$I$21/0.075)*(1-Assumptions!$C$64)-(E18+CUMPRINC(Assumptions!$C$54/12,Assumptions!$C$56*12,E18,1,MIN(Assumptions!$C$62*12-Assumptions!$C$55,Assumptions!$C$56*12),0))</f>
        <v>110718.75658831463</v>
      </c>
      <c r="AD34" s="393">
        <f>'Cash Flow'!$I$21+PMT(Assumptions!$C$54/12,Assumptions!$C$56*12,E18)*12+('Cash Flow'!$I$21/0.08)*(1-Assumptions!$C$64)-(E18+CUMPRINC(Assumptions!$C$54/12,Assumptions!$C$56*12,E18,1,MIN(Assumptions!$C$62*12-Assumptions!$C$55,Assumptions!$C$56*12),0))</f>
        <v>100646.95714973053</v>
      </c>
    </row>
    <row r="35" spans="2:30" x14ac:dyDescent="0.2">
      <c r="B35" s="376">
        <v>0.14000000000000001</v>
      </c>
      <c r="C35" s="378">
        <f>IFERROR(IRR(N381:S381),"n/a")</f>
        <v>0.73451980558891261</v>
      </c>
      <c r="D35" s="378">
        <f>IFERROR(IRR(N382:S382),"n/a")</f>
        <v>0.69510710815377563</v>
      </c>
      <c r="E35" s="378">
        <f>IFERROR(IRR(N383:S383),"n/a")</f>
        <v>0.66032642885409798</v>
      </c>
      <c r="F35" s="378">
        <f>IFERROR(IRR(N384:S384),"n/a")</f>
        <v>0.62920551116303125</v>
      </c>
      <c r="G35" s="387">
        <f>IFERROR(IRR(N385:S385),"n/a")</f>
        <v>0.60104114386210594</v>
      </c>
      <c r="H35" s="378">
        <f>IFERROR(IRR(N386:S386),"n/a")</f>
        <v>0.57530909915365114</v>
      </c>
      <c r="I35" s="378">
        <f>IFERROR(IRR(N387:S387),"n/a")</f>
        <v>0.55160863909585944</v>
      </c>
      <c r="J35" s="378">
        <f>IFERROR(IRR(N388:S388),"n/a")</f>
        <v>0.52962685473570792</v>
      </c>
      <c r="K35" s="378">
        <f>IFERROR(IRR(N389:S389),"n/a")</f>
        <v>0.50911492869919406</v>
      </c>
      <c r="V35" s="393">
        <f>'Cash Flow'!$I$21+PMT(Assumptions!$C$54/12,Assumptions!$C$56*12,E19)*12+('Cash Flow'!$I$21/0.04)*(1-Assumptions!$C$64)-(E19+CUMPRINC(Assumptions!$C$54/12,Assumptions!$C$56*12,E19,1,MIN(Assumptions!$C$62*12-Assumptions!$C$55,Assumptions!$C$56*12),0))</f>
        <v>256207.00944764263</v>
      </c>
      <c r="W35" s="393">
        <f>'Cash Flow'!$I$21+PMT(Assumptions!$C$54/12,Assumptions!$C$56*12,E19)*12+('Cash Flow'!$I$21/0.045)*(1-Assumptions!$C$64)-(E19+CUMPRINC(Assumptions!$C$54/12,Assumptions!$C$56*12,E19,1,MIN(Assumptions!$C$62*12-Assumptions!$C$55,Assumptions!$C$56*12),0))</f>
        <v>222634.34465236243</v>
      </c>
      <c r="X35" s="393">
        <f>'Cash Flow'!$I$21+PMT(Assumptions!$C$54/12,Assumptions!$C$56*12,E19)*12+('Cash Flow'!$I$21/0.05)*(1-Assumptions!$C$64)-(E19+CUMPRINC(Assumptions!$C$54/12,Assumptions!$C$56*12,E19,1,MIN(Assumptions!$C$62*12-Assumptions!$C$55,Assumptions!$C$56*12),0))</f>
        <v>195776.2128161382</v>
      </c>
      <c r="Y35" s="393">
        <f>'Cash Flow'!$I$21+PMT(Assumptions!$C$54/12,Assumptions!$C$56*12,E19)*12+('Cash Flow'!$I$21/0.055)*(1-Assumptions!$C$64)-(E19+CUMPRINC(Assumptions!$C$54/12,Assumptions!$C$56*12,E19,1,MIN(Assumptions!$C$62*12-Assumptions!$C$55,Assumptions!$C$56*12),0))</f>
        <v>173801.3776774093</v>
      </c>
      <c r="Z35" s="393">
        <f>'Cash Flow'!$I$21+PMT(Assumptions!$C$54/12,Assumptions!$C$56*12,E19)*12+('Cash Flow'!$I$21/0.06)*(1-Assumptions!$C$64)-(E19+CUMPRINC(Assumptions!$C$54/12,Assumptions!$C$56*12,E19,1,MIN(Assumptions!$C$62*12-Assumptions!$C$55,Assumptions!$C$56*12),0))</f>
        <v>155489.01506180188</v>
      </c>
      <c r="AA35" s="393">
        <f>'Cash Flow'!$I$21+PMT(Assumptions!$C$54/12,Assumptions!$C$56*12,E19)*12+('Cash Flow'!$I$21/0.065)*(1-Assumptions!$C$64)-(E19+CUMPRINC(Assumptions!$C$54/12,Assumptions!$C$56*12,E19,1,MIN(Assumptions!$C$62*12-Assumptions!$C$55,Assumptions!$C$56*12),0))</f>
        <v>139993.93900244177</v>
      </c>
      <c r="AB35" s="393">
        <f>'Cash Flow'!$I$21+PMT(Assumptions!$C$54/12,Assumptions!$C$56*12,E19)*12+('Cash Flow'!$I$21/0.07)*(1-Assumptions!$C$64)-(E19+CUMPRINC(Assumptions!$C$54/12,Assumptions!$C$56*12,E19,1,MIN(Assumptions!$C$62*12-Assumptions!$C$55,Assumptions!$C$56*12),0))</f>
        <v>126712.44523727594</v>
      </c>
      <c r="AC35" s="393">
        <f>'Cash Flow'!$I$21+PMT(Assumptions!$C$54/12,Assumptions!$C$56*12,E19)*12+('Cash Flow'!$I$21/0.075)*(1-Assumptions!$C$64)-(E19+CUMPRINC(Assumptions!$C$54/12,Assumptions!$C$56*12,E19,1,MIN(Assumptions!$C$62*12-Assumptions!$C$55,Assumptions!$C$56*12),0))</f>
        <v>115201.81730746556</v>
      </c>
      <c r="AD35" s="393">
        <f>'Cash Flow'!$I$21+PMT(Assumptions!$C$54/12,Assumptions!$C$56*12,E19)*12+('Cash Flow'!$I$21/0.08)*(1-Assumptions!$C$64)-(E19+CUMPRINC(Assumptions!$C$54/12,Assumptions!$C$56*12,E19,1,MIN(Assumptions!$C$62*12-Assumptions!$C$55,Assumptions!$C$56*12),0))</f>
        <v>105130.01786888146</v>
      </c>
    </row>
    <row r="36" spans="2:30" x14ac:dyDescent="0.2">
      <c r="B36" s="376">
        <v>0.15</v>
      </c>
      <c r="C36" s="379">
        <f>IFERROR(IRR(N390:S390),"n/a")</f>
        <v>0.77603301339367436</v>
      </c>
      <c r="D36" s="379">
        <f>IFERROR(IRR(N391:S391),"n/a")</f>
        <v>0.73689914006489743</v>
      </c>
      <c r="E36" s="379">
        <f>IFERROR(IRR(N392:S392),"n/a")</f>
        <v>0.70244591472087192</v>
      </c>
      <c r="F36" s="379">
        <f>IFERROR(IRR(N393:S393),"n/a")</f>
        <v>0.67169196348664784</v>
      </c>
      <c r="G36" s="387">
        <f>IFERROR(IRR(N394:S394),"n/a")</f>
        <v>0.64392781458337378</v>
      </c>
      <c r="H36" s="379">
        <f>IFERROR(IRR(N395:S395),"n/a")</f>
        <v>0.61862485108612186</v>
      </c>
      <c r="I36" s="379">
        <f>IFERROR(IRR(N396:S396),"n/a")</f>
        <v>0.59537922117013564</v>
      </c>
      <c r="J36" s="379">
        <f>IFERROR(IRR(N397:S397),"n/a")</f>
        <v>0.57387580133373928</v>
      </c>
      <c r="K36" s="379">
        <f>IFERROR(IRR(N398:S398),"n/a")</f>
        <v>0.55386421380035067</v>
      </c>
      <c r="V36" s="393">
        <f>'Cash Flow'!$I$21+PMT(Assumptions!$C$54/12,Assumptions!$C$56*12,E20)*12+('Cash Flow'!$I$21/0.04)*(1-Assumptions!$C$64)-(E20+CUMPRINC(Assumptions!$C$54/12,Assumptions!$C$56*12,E20,1,MIN(Assumptions!$C$62*12-Assumptions!$C$55,Assumptions!$C$56*12),0))</f>
        <v>260092.32873757344</v>
      </c>
      <c r="W36" s="393">
        <f>'Cash Flow'!$I$21+PMT(Assumptions!$C$54/12,Assumptions!$C$56*12,E20)*12+('Cash Flow'!$I$21/0.045)*(1-Assumptions!$C$64)-(E20+CUMPRINC(Assumptions!$C$54/12,Assumptions!$C$56*12,E20,1,MIN(Assumptions!$C$62*12-Assumptions!$C$55,Assumptions!$C$56*12),0))</f>
        <v>226519.66394229323</v>
      </c>
      <c r="X36" s="393">
        <f>'Cash Flow'!$I$21+PMT(Assumptions!$C$54/12,Assumptions!$C$56*12,E20)*12+('Cash Flow'!$I$21/0.05)*(1-Assumptions!$C$64)-(E20+CUMPRINC(Assumptions!$C$54/12,Assumptions!$C$56*12,E20,1,MIN(Assumptions!$C$62*12-Assumptions!$C$55,Assumptions!$C$56*12),0))</f>
        <v>199661.53210606903</v>
      </c>
      <c r="Y36" s="393">
        <f>'Cash Flow'!$I$21+PMT(Assumptions!$C$54/12,Assumptions!$C$56*12,E20)*12+('Cash Flow'!$I$21/0.055)*(1-Assumptions!$C$64)-(E20+CUMPRINC(Assumptions!$C$54/12,Assumptions!$C$56*12,E20,1,MIN(Assumptions!$C$62*12-Assumptions!$C$55,Assumptions!$C$56*12),0))</f>
        <v>177686.69696734013</v>
      </c>
      <c r="Z36" s="393">
        <f>'Cash Flow'!$I$21+PMT(Assumptions!$C$54/12,Assumptions!$C$56*12,E20)*12+('Cash Flow'!$I$21/0.06)*(1-Assumptions!$C$64)-(E20+CUMPRINC(Assumptions!$C$54/12,Assumptions!$C$56*12,E20,1,MIN(Assumptions!$C$62*12-Assumptions!$C$55,Assumptions!$C$56*12),0))</f>
        <v>159374.33435173272</v>
      </c>
      <c r="AA36" s="393">
        <f>'Cash Flow'!$I$21+PMT(Assumptions!$C$54/12,Assumptions!$C$56*12,E20)*12+('Cash Flow'!$I$21/0.065)*(1-Assumptions!$C$64)-(E20+CUMPRINC(Assumptions!$C$54/12,Assumptions!$C$56*12,E20,1,MIN(Assumptions!$C$62*12-Assumptions!$C$55,Assumptions!$C$56*12),0))</f>
        <v>143879.2582923726</v>
      </c>
      <c r="AB36" s="393">
        <f>'Cash Flow'!$I$21+PMT(Assumptions!$C$54/12,Assumptions!$C$56*12,E20)*12+('Cash Flow'!$I$21/0.07)*(1-Assumptions!$C$64)-(E20+CUMPRINC(Assumptions!$C$54/12,Assumptions!$C$56*12,E20,1,MIN(Assumptions!$C$62*12-Assumptions!$C$55,Assumptions!$C$56*12),0))</f>
        <v>130597.76452720677</v>
      </c>
      <c r="AC36" s="393">
        <f>'Cash Flow'!$I$21+PMT(Assumptions!$C$54/12,Assumptions!$C$56*12,E20)*12+('Cash Flow'!$I$21/0.075)*(1-Assumptions!$C$64)-(E20+CUMPRINC(Assumptions!$C$54/12,Assumptions!$C$56*12,E20,1,MIN(Assumptions!$C$62*12-Assumptions!$C$55,Assumptions!$C$56*12),0))</f>
        <v>119087.1365973964</v>
      </c>
      <c r="AD36" s="393">
        <f>'Cash Flow'!$I$21+PMT(Assumptions!$C$54/12,Assumptions!$C$56*12,E20)*12+('Cash Flow'!$I$21/0.08)*(1-Assumptions!$C$64)-(E20+CUMPRINC(Assumptions!$C$54/12,Assumptions!$C$56*12,E20,1,MIN(Assumptions!$C$62*12-Assumptions!$C$55,Assumptions!$C$56*12),0))</f>
        <v>109015.3371588123</v>
      </c>
    </row>
    <row r="38" spans="2:30" ht="20" customHeight="1" x14ac:dyDescent="0.2">
      <c r="B38" s="374" t="s">
        <v>264</v>
      </c>
    </row>
    <row r="39" spans="2:30" x14ac:dyDescent="0.2">
      <c r="B39" s="373" t="s">
        <v>272</v>
      </c>
    </row>
    <row r="40" spans="2:30" x14ac:dyDescent="0.2">
      <c r="B40" s="375" t="s">
        <v>265</v>
      </c>
      <c r="C40" s="376">
        <v>-0.15</v>
      </c>
      <c r="D40" s="376">
        <v>-0.1</v>
      </c>
      <c r="E40" s="376">
        <v>-0.05</v>
      </c>
      <c r="F40" s="386">
        <v>0</v>
      </c>
      <c r="G40" s="376">
        <v>0.05</v>
      </c>
      <c r="H40" s="376">
        <v>0.1</v>
      </c>
      <c r="I40" s="376">
        <v>0.15</v>
      </c>
    </row>
    <row r="41" spans="2:30" x14ac:dyDescent="0.2">
      <c r="B41" s="376">
        <v>0.05</v>
      </c>
      <c r="C41" s="379">
        <f>IFERROR(AVERAGE('Cash Flow'!$E$21*0.85-E10*Assumptions!$C$54,'Cash Flow'!$F$21*0.85-E10*Assumptions!$C$54,'Cash Flow'!$G$21*0.85+PMT(Assumptions!$C$54/12,Assumptions!$C$56*12,E10)*12,'Cash Flow'!$H$21*0.85+PMT(Assumptions!$C$54/12,Assumptions!$C$56*12,E10)*12,'Cash Flow'!$I$21*0.85+PMT(Assumptions!$C$54/12,Assumptions!$C$56*12,E10)*12)/F10,"-")</f>
        <v>-1.671131340146392E-2</v>
      </c>
      <c r="D41" s="379">
        <f>IFERROR(AVERAGE('Cash Flow'!$E$21*0.9-E10*Assumptions!$C$54,'Cash Flow'!$F$21*0.9-E10*Assumptions!$C$54,'Cash Flow'!$G$21*0.9+PMT(Assumptions!$C$54/12,Assumptions!$C$56*12,E10)*12,'Cash Flow'!$H$21*0.9+PMT(Assumptions!$C$54/12,Assumptions!$C$56*12,E10)*12,'Cash Flow'!$I$21*0.9+PMT(Assumptions!$C$54/12,Assumptions!$C$56*12,E10)*12)/F10,"-")</f>
        <v>-8.4928192662475713E-3</v>
      </c>
      <c r="E41" s="379">
        <f>IFERROR(AVERAGE('Cash Flow'!$E$21*0.95-E10*Assumptions!$C$54,'Cash Flow'!$F$21*0.95-E10*Assumptions!$C$54,'Cash Flow'!$G$21*0.95+PMT(Assumptions!$C$54/12,Assumptions!$C$56*12,E10)*12,'Cash Flow'!$H$21*0.95+PMT(Assumptions!$C$54/12,Assumptions!$C$56*12,E10)*12,'Cash Flow'!$I$21*0.95+PMT(Assumptions!$C$54/12,Assumptions!$C$56*12,E10)*12)/F10,"-")</f>
        <v>-2.7432513103123774E-4</v>
      </c>
      <c r="F41" s="387">
        <f>IFERROR(AVERAGE('Cash Flow'!$E$21*1-E10*Assumptions!$C$54,'Cash Flow'!$F$21*1-E10*Assumptions!$C$54,'Cash Flow'!$G$21*1+PMT(Assumptions!$C$54/12,Assumptions!$C$56*12,E10)*12,'Cash Flow'!$H$21*1+PMT(Assumptions!$C$54/12,Assumptions!$C$56*12,E10)*12,'Cash Flow'!$I$21*1+PMT(Assumptions!$C$54/12,Assumptions!$C$56*12,E10)*12)/F10,"-")</f>
        <v>7.9441690041851098E-3</v>
      </c>
      <c r="G41" s="379">
        <f>IFERROR(AVERAGE('Cash Flow'!$E$21*1.05-E10*Assumptions!$C$54,'Cash Flow'!$F$21*1.05-E10*Assumptions!$C$54,'Cash Flow'!$G$21*1.05+PMT(Assumptions!$C$54/12,Assumptions!$C$56*12,E10)*12,'Cash Flow'!$H$21*1.05+PMT(Assumptions!$C$54/12,Assumptions!$C$56*12,E10)*12,'Cash Flow'!$I$21*1.05+PMT(Assumptions!$C$54/12,Assumptions!$C$56*12,E10)*12)/F10,"-")</f>
        <v>1.616266313940146E-2</v>
      </c>
      <c r="H41" s="379">
        <f>IFERROR(AVERAGE('Cash Flow'!$E$21*1.1-E10*Assumptions!$C$54,'Cash Flow'!$F$21*1.1-E10*Assumptions!$C$54,'Cash Flow'!$G$21*1.1+PMT(Assumptions!$C$54/12,Assumptions!$C$56*12,E10)*12,'Cash Flow'!$H$21*1.1+PMT(Assumptions!$C$54/12,Assumptions!$C$56*12,E10)*12,'Cash Flow'!$I$21*1.1+PMT(Assumptions!$C$54/12,Assumptions!$C$56*12,E10)*12)/F10,"-")</f>
        <v>2.4381157274617812E-2</v>
      </c>
      <c r="I41" s="379">
        <f>IFERROR(AVERAGE('Cash Flow'!$E$21*1.15-E10*Assumptions!$C$54,'Cash Flow'!$F$21*1.15-E10*Assumptions!$C$54,'Cash Flow'!$G$21*1.15+PMT(Assumptions!$C$54/12,Assumptions!$C$56*12,E10)*12,'Cash Flow'!$H$21*1.15+PMT(Assumptions!$C$54/12,Assumptions!$C$56*12,E10)*12,'Cash Flow'!$I$21*1.15+PMT(Assumptions!$C$54/12,Assumptions!$C$56*12,E10)*12)/F10,"-")</f>
        <v>3.2599651409834118E-2</v>
      </c>
    </row>
    <row r="42" spans="2:30" x14ac:dyDescent="0.2">
      <c r="B42" s="376">
        <v>0.06</v>
      </c>
      <c r="C42" s="378">
        <f>IFERROR(AVERAGE('Cash Flow'!$E$21*0.85-E11*Assumptions!$C$54,'Cash Flow'!$F$21*0.85-E11*Assumptions!$C$54,'Cash Flow'!$G$21*0.85+PMT(Assumptions!$C$54/12,Assumptions!$C$56*12,E11)*12,'Cash Flow'!$H$21*0.85+PMT(Assumptions!$C$54/12,Assumptions!$C$56*12,E11)*12,'Cash Flow'!$I$21*0.85+PMT(Assumptions!$C$54/12,Assumptions!$C$56*12,E11)*12)/F11,"-")</f>
        <v>1.1231566658271644E-2</v>
      </c>
      <c r="D42" s="378">
        <f>IFERROR(AVERAGE('Cash Flow'!$E$21*0.9-E11*Assumptions!$C$54,'Cash Flow'!$F$21*0.9-E11*Assumptions!$C$54,'Cash Flow'!$G$21*0.9+PMT(Assumptions!$C$54/12,Assumptions!$C$56*12,E11)*12,'Cash Flow'!$H$21*0.9+PMT(Assumptions!$C$54/12,Assumptions!$C$56*12,E11)*12,'Cash Flow'!$I$21*0.9+PMT(Assumptions!$C$54/12,Assumptions!$C$56*12,E11)*12)/F11,"-")</f>
        <v>2.1093759620531262E-2</v>
      </c>
      <c r="E42" s="378">
        <f>IFERROR(AVERAGE('Cash Flow'!$E$21*0.95-E11*Assumptions!$C$54,'Cash Flow'!$F$21*0.95-E11*Assumptions!$C$54,'Cash Flow'!$G$21*0.95+PMT(Assumptions!$C$54/12,Assumptions!$C$56*12,E11)*12,'Cash Flow'!$H$21*0.95+PMT(Assumptions!$C$54/12,Assumptions!$C$56*12,E11)*12,'Cash Flow'!$I$21*0.95+PMT(Assumptions!$C$54/12,Assumptions!$C$56*12,E11)*12)/F11,"-")</f>
        <v>3.0955952582790866E-2</v>
      </c>
      <c r="F42" s="387">
        <f>IFERROR(AVERAGE('Cash Flow'!$E$21*1-E11*Assumptions!$C$54,'Cash Flow'!$F$21*1-E11*Assumptions!$C$54,'Cash Flow'!$G$21*1+PMT(Assumptions!$C$54/12,Assumptions!$C$56*12,E11)*12,'Cash Flow'!$H$21*1+PMT(Assumptions!$C$54/12,Assumptions!$C$56*12,E11)*12,'Cash Flow'!$I$21*1+PMT(Assumptions!$C$54/12,Assumptions!$C$56*12,E11)*12)/F11,"-")</f>
        <v>4.0818145545050484E-2</v>
      </c>
      <c r="G42" s="378">
        <f>IFERROR(AVERAGE('Cash Flow'!$E$21*1.05-E11*Assumptions!$C$54,'Cash Flow'!$F$21*1.05-E11*Assumptions!$C$54,'Cash Flow'!$G$21*1.05+PMT(Assumptions!$C$54/12,Assumptions!$C$56*12,E11)*12,'Cash Flow'!$H$21*1.05+PMT(Assumptions!$C$54/12,Assumptions!$C$56*12,E11)*12,'Cash Flow'!$I$21*1.05+PMT(Assumptions!$C$54/12,Assumptions!$C$56*12,E11)*12)/F11,"-")</f>
        <v>5.0680338507310102E-2</v>
      </c>
      <c r="H42" s="378">
        <f>IFERROR(AVERAGE('Cash Flow'!$E$21*1.1-E11*Assumptions!$C$54,'Cash Flow'!$F$21*1.1-E11*Assumptions!$C$54,'Cash Flow'!$G$21*1.1+PMT(Assumptions!$C$54/12,Assumptions!$C$56*12,E11)*12,'Cash Flow'!$H$21*1.1+PMT(Assumptions!$C$54/12,Assumptions!$C$56*12,E11)*12,'Cash Flow'!$I$21*1.1+PMT(Assumptions!$C$54/12,Assumptions!$C$56*12,E11)*12)/F11,"-")</f>
        <v>6.0542531469569727E-2</v>
      </c>
      <c r="I42" s="378">
        <f>IFERROR(AVERAGE('Cash Flow'!$E$21*1.15-E11*Assumptions!$C$54,'Cash Flow'!$F$21*1.15-E11*Assumptions!$C$54,'Cash Flow'!$G$21*1.15+PMT(Assumptions!$C$54/12,Assumptions!$C$56*12,E11)*12,'Cash Flow'!$H$21*1.15+PMT(Assumptions!$C$54/12,Assumptions!$C$56*12,E11)*12,'Cash Flow'!$I$21*1.15+PMT(Assumptions!$C$54/12,Assumptions!$C$56*12,E11)*12)/F11,"-")</f>
        <v>7.040472443182931E-2</v>
      </c>
    </row>
    <row r="43" spans="2:30" x14ac:dyDescent="0.2">
      <c r="B43" s="376">
        <v>7.0000000000000007E-2</v>
      </c>
      <c r="C43" s="379">
        <f>IFERROR(AVERAGE('Cash Flow'!$E$21*0.85-E12*Assumptions!$C$54,'Cash Flow'!$F$21*0.85-E12*Assumptions!$C$54,'Cash Flow'!$G$21*0.85+PMT(Assumptions!$C$54/12,Assumptions!$C$56*12,E12)*12,'Cash Flow'!$H$21*0.85+PMT(Assumptions!$C$54/12,Assumptions!$C$56*12,E12)*12,'Cash Flow'!$I$21*0.85+PMT(Assumptions!$C$54/12,Assumptions!$C$56*12,E12)*12)/F12,"-")</f>
        <v>3.9174446718007253E-2</v>
      </c>
      <c r="D43" s="379">
        <f>IFERROR(AVERAGE('Cash Flow'!$E$21*0.9-E12*Assumptions!$C$54,'Cash Flow'!$F$21*0.9-E12*Assumptions!$C$54,'Cash Flow'!$G$21*0.9+PMT(Assumptions!$C$54/12,Assumptions!$C$56*12,E12)*12,'Cash Flow'!$H$21*0.9+PMT(Assumptions!$C$54/12,Assumptions!$C$56*12,E12)*12,'Cash Flow'!$I$21*0.9+PMT(Assumptions!$C$54/12,Assumptions!$C$56*12,E12)*12)/F12,"-")</f>
        <v>5.0680338507310144E-2</v>
      </c>
      <c r="E43" s="379">
        <f>IFERROR(AVERAGE('Cash Flow'!$E$21*0.95-E12*Assumptions!$C$54,'Cash Flow'!$F$21*0.95-E12*Assumptions!$C$54,'Cash Flow'!$G$21*0.95+PMT(Assumptions!$C$54/12,Assumptions!$C$56*12,E12)*12,'Cash Flow'!$H$21*0.95+PMT(Assumptions!$C$54/12,Assumptions!$C$56*12,E12)*12,'Cash Flow'!$I$21*0.95+PMT(Assumptions!$C$54/12,Assumptions!$C$56*12,E12)*12)/F12,"-")</f>
        <v>6.2186230296613014E-2</v>
      </c>
      <c r="F43" s="387">
        <f>IFERROR(AVERAGE('Cash Flow'!$E$21*1-E12*Assumptions!$C$54,'Cash Flow'!$F$21*1-E12*Assumptions!$C$54,'Cash Flow'!$G$21*1+PMT(Assumptions!$C$54/12,Assumptions!$C$56*12,E12)*12,'Cash Flow'!$H$21*1+PMT(Assumptions!$C$54/12,Assumptions!$C$56*12,E12)*12,'Cash Flow'!$I$21*1+PMT(Assumptions!$C$54/12,Assumptions!$C$56*12,E12)*12)/F12,"-")</f>
        <v>7.3692122085915912E-2</v>
      </c>
      <c r="G43" s="379">
        <f>IFERROR(AVERAGE('Cash Flow'!$E$21*1.05-E12*Assumptions!$C$54,'Cash Flow'!$F$21*1.05-E12*Assumptions!$C$54,'Cash Flow'!$G$21*1.05+PMT(Assumptions!$C$54/12,Assumptions!$C$56*12,E12)*12,'Cash Flow'!$H$21*1.05+PMT(Assumptions!$C$54/12,Assumptions!$C$56*12,E12)*12,'Cash Flow'!$I$21*1.05+PMT(Assumptions!$C$54/12,Assumptions!$C$56*12,E12)*12)/F12,"-")</f>
        <v>8.5198013875218803E-2</v>
      </c>
      <c r="H43" s="379">
        <f>IFERROR(AVERAGE('Cash Flow'!$E$21*1.1-E12*Assumptions!$C$54,'Cash Flow'!$F$21*1.1-E12*Assumptions!$C$54,'Cash Flow'!$G$21*1.1+PMT(Assumptions!$C$54/12,Assumptions!$C$56*12,E12)*12,'Cash Flow'!$H$21*1.1+PMT(Assumptions!$C$54/12,Assumptions!$C$56*12,E12)*12,'Cash Flow'!$I$21*1.1+PMT(Assumptions!$C$54/12,Assumptions!$C$56*12,E12)*12)/F12,"-")</f>
        <v>9.6703905664521694E-2</v>
      </c>
      <c r="I43" s="379">
        <f>IFERROR(AVERAGE('Cash Flow'!$E$21*1.15-E12*Assumptions!$C$54,'Cash Flow'!$F$21*1.15-E12*Assumptions!$C$54,'Cash Flow'!$G$21*1.15+PMT(Assumptions!$C$54/12,Assumptions!$C$56*12,E12)*12,'Cash Flow'!$H$21*1.15+PMT(Assumptions!$C$54/12,Assumptions!$C$56*12,E12)*12,'Cash Flow'!$I$21*1.15+PMT(Assumptions!$C$54/12,Assumptions!$C$56*12,E12)*12)/F12,"-")</f>
        <v>0.10820979745382456</v>
      </c>
    </row>
    <row r="44" spans="2:30" x14ac:dyDescent="0.2">
      <c r="B44" s="376">
        <v>0.08</v>
      </c>
      <c r="C44" s="378">
        <f>IFERROR(AVERAGE('Cash Flow'!$E$21*0.85-E13*Assumptions!$C$54,'Cash Flow'!$F$21*0.85-E13*Assumptions!$C$54,'Cash Flow'!$G$21*0.85+PMT(Assumptions!$C$54/12,Assumptions!$C$56*12,E13)*12,'Cash Flow'!$H$21*0.85+PMT(Assumptions!$C$54/12,Assumptions!$C$56*12,E13)*12,'Cash Flow'!$I$21*0.85+PMT(Assumptions!$C$54/12,Assumptions!$C$56*12,E13)*12)/F13,"-")</f>
        <v>6.7117326777742778E-2</v>
      </c>
      <c r="D44" s="378">
        <f>IFERROR(AVERAGE('Cash Flow'!$E$21*0.9-E13*Assumptions!$C$54,'Cash Flow'!$F$21*0.9-E13*Assumptions!$C$54,'Cash Flow'!$G$21*0.9+PMT(Assumptions!$C$54/12,Assumptions!$C$56*12,E13)*12,'Cash Flow'!$H$21*0.9+PMT(Assumptions!$C$54/12,Assumptions!$C$56*12,E13)*12,'Cash Flow'!$I$21*0.9+PMT(Assumptions!$C$54/12,Assumptions!$C$56*12,E13)*12)/F13,"-")</f>
        <v>8.0266917394088921E-2</v>
      </c>
      <c r="E44" s="378">
        <f>IFERROR(AVERAGE('Cash Flow'!$E$21*0.95-E13*Assumptions!$C$54,'Cash Flow'!$F$21*0.95-E13*Assumptions!$C$54,'Cash Flow'!$G$21*0.95+PMT(Assumptions!$C$54/12,Assumptions!$C$56*12,E13)*12,'Cash Flow'!$H$21*0.95+PMT(Assumptions!$C$54/12,Assumptions!$C$56*12,E13)*12,'Cash Flow'!$I$21*0.95+PMT(Assumptions!$C$54/12,Assumptions!$C$56*12,E13)*12)/F13,"-")</f>
        <v>9.3416508010435065E-2</v>
      </c>
      <c r="F44" s="387">
        <f>IFERROR(AVERAGE('Cash Flow'!$E$21*1-E13*Assumptions!$C$54,'Cash Flow'!$F$21*1-E13*Assumptions!$C$54,'Cash Flow'!$G$21*1+PMT(Assumptions!$C$54/12,Assumptions!$C$56*12,E13)*12,'Cash Flow'!$H$21*1+PMT(Assumptions!$C$54/12,Assumptions!$C$56*12,E13)*12,'Cash Flow'!$I$21*1+PMT(Assumptions!$C$54/12,Assumptions!$C$56*12,E13)*12)/F13,"-")</f>
        <v>0.10656609862678122</v>
      </c>
      <c r="G44" s="378">
        <f>IFERROR(AVERAGE('Cash Flow'!$E$21*1.05-E13*Assumptions!$C$54,'Cash Flow'!$F$21*1.05-E13*Assumptions!$C$54,'Cash Flow'!$G$21*1.05+PMT(Assumptions!$C$54/12,Assumptions!$C$56*12,E13)*12,'Cash Flow'!$H$21*1.05+PMT(Assumptions!$C$54/12,Assumptions!$C$56*12,E13)*12,'Cash Flow'!$I$21*1.05+PMT(Assumptions!$C$54/12,Assumptions!$C$56*12,E13)*12)/F13,"-")</f>
        <v>0.11971568924312737</v>
      </c>
      <c r="H44" s="378">
        <f>IFERROR(AVERAGE('Cash Flow'!$E$21*1.1-E13*Assumptions!$C$54,'Cash Flow'!$F$21*1.1-E13*Assumptions!$C$54,'Cash Flow'!$G$21*1.1+PMT(Assumptions!$C$54/12,Assumptions!$C$56*12,E13)*12,'Cash Flow'!$H$21*1.1+PMT(Assumptions!$C$54/12,Assumptions!$C$56*12,E13)*12,'Cash Flow'!$I$21*1.1+PMT(Assumptions!$C$54/12,Assumptions!$C$56*12,E13)*12)/F13,"-")</f>
        <v>0.13286527985947355</v>
      </c>
      <c r="I44" s="378">
        <f>IFERROR(AVERAGE('Cash Flow'!$E$21*1.15-E13*Assumptions!$C$54,'Cash Flow'!$F$21*1.15-E13*Assumptions!$C$54,'Cash Flow'!$G$21*1.15+PMT(Assumptions!$C$54/12,Assumptions!$C$56*12,E13)*12,'Cash Flow'!$H$21*1.15+PMT(Assumptions!$C$54/12,Assumptions!$C$56*12,E13)*12,'Cash Flow'!$I$21*1.15+PMT(Assumptions!$C$54/12,Assumptions!$C$56*12,E13)*12)/F13,"-")</f>
        <v>0.14601487047581965</v>
      </c>
    </row>
    <row r="45" spans="2:30" x14ac:dyDescent="0.2">
      <c r="B45" s="376">
        <v>0.09</v>
      </c>
      <c r="C45" s="379">
        <f>IFERROR(AVERAGE('Cash Flow'!$E$21*0.85-E14*Assumptions!$C$54,'Cash Flow'!$F$21*0.85-E14*Assumptions!$C$54,'Cash Flow'!$G$21*0.85+PMT(Assumptions!$C$54/12,Assumptions!$C$56*12,E14)*12,'Cash Flow'!$H$21*0.85+PMT(Assumptions!$C$54/12,Assumptions!$C$56*12,E14)*12,'Cash Flow'!$I$21*0.85+PMT(Assumptions!$C$54/12,Assumptions!$C$56*12,E14)*12)/F14,"-")</f>
        <v>9.5060206837478345E-2</v>
      </c>
      <c r="D45" s="379">
        <f>IFERROR(AVERAGE('Cash Flow'!$E$21*0.9-E14*Assumptions!$C$54,'Cash Flow'!$F$21*0.9-E14*Assumptions!$C$54,'Cash Flow'!$G$21*0.9+PMT(Assumptions!$C$54/12,Assumptions!$C$56*12,E14)*12,'Cash Flow'!$H$21*0.9+PMT(Assumptions!$C$54/12,Assumptions!$C$56*12,E14)*12,'Cash Flow'!$I$21*0.9+PMT(Assumptions!$C$54/12,Assumptions!$C$56*12,E14)*12)/F14,"-")</f>
        <v>0.10985349628086775</v>
      </c>
      <c r="E45" s="379">
        <f>IFERROR(AVERAGE('Cash Flow'!$E$21*0.95-E14*Assumptions!$C$54,'Cash Flow'!$F$21*0.95-E14*Assumptions!$C$54,'Cash Flow'!$G$21*0.95+PMT(Assumptions!$C$54/12,Assumptions!$C$56*12,E14)*12,'Cash Flow'!$H$21*0.95+PMT(Assumptions!$C$54/12,Assumptions!$C$56*12,E14)*12,'Cash Flow'!$I$21*0.95+PMT(Assumptions!$C$54/12,Assumptions!$C$56*12,E14)*12)/F14,"-")</f>
        <v>0.12464678572425716</v>
      </c>
      <c r="F45" s="387">
        <f>IFERROR(AVERAGE('Cash Flow'!$E$21*1-E14*Assumptions!$C$54,'Cash Flow'!$F$21*1-E14*Assumptions!$C$54,'Cash Flow'!$G$21*1+PMT(Assumptions!$C$54/12,Assumptions!$C$56*12,E14)*12,'Cash Flow'!$H$21*1+PMT(Assumptions!$C$54/12,Assumptions!$C$56*12,E14)*12,'Cash Flow'!$I$21*1+PMT(Assumptions!$C$54/12,Assumptions!$C$56*12,E14)*12)/F14,"-")</f>
        <v>0.13944007516764659</v>
      </c>
      <c r="G45" s="379">
        <f>IFERROR(AVERAGE('Cash Flow'!$E$21*1.05-E14*Assumptions!$C$54,'Cash Flow'!$F$21*1.05-E14*Assumptions!$C$54,'Cash Flow'!$G$21*1.05+PMT(Assumptions!$C$54/12,Assumptions!$C$56*12,E14)*12,'Cash Flow'!$H$21*1.05+PMT(Assumptions!$C$54/12,Assumptions!$C$56*12,E14)*12,'Cash Flow'!$I$21*1.05+PMT(Assumptions!$C$54/12,Assumptions!$C$56*12,E14)*12)/F14,"-")</f>
        <v>0.15423336461103601</v>
      </c>
      <c r="H45" s="379">
        <f>IFERROR(AVERAGE('Cash Flow'!$E$21*1.1-E14*Assumptions!$C$54,'Cash Flow'!$F$21*1.1-E14*Assumptions!$C$54,'Cash Flow'!$G$21*1.1+PMT(Assumptions!$C$54/12,Assumptions!$C$56*12,E14)*12,'Cash Flow'!$H$21*1.1+PMT(Assumptions!$C$54/12,Assumptions!$C$56*12,E14)*12,'Cash Flow'!$I$21*1.1+PMT(Assumptions!$C$54/12,Assumptions!$C$56*12,E14)*12)/F14,"-")</f>
        <v>0.16902665405442543</v>
      </c>
      <c r="I45" s="379">
        <f>IFERROR(AVERAGE('Cash Flow'!$E$21*1.15-E14*Assumptions!$C$54,'Cash Flow'!$F$21*1.15-E14*Assumptions!$C$54,'Cash Flow'!$G$21*1.15+PMT(Assumptions!$C$54/12,Assumptions!$C$56*12,E14)*12,'Cash Flow'!$H$21*1.15+PMT(Assumptions!$C$54/12,Assumptions!$C$56*12,E14)*12,'Cash Flow'!$I$21*1.15+PMT(Assumptions!$C$54/12,Assumptions!$C$56*12,E14)*12)/F14,"-")</f>
        <v>0.1838199434978148</v>
      </c>
    </row>
    <row r="46" spans="2:30" x14ac:dyDescent="0.2">
      <c r="B46" s="376">
        <v>0.1</v>
      </c>
      <c r="C46" s="378">
        <f>IFERROR(AVERAGE('Cash Flow'!$E$21*0.85-E15*Assumptions!$C$54,'Cash Flow'!$F$21*0.85-E15*Assumptions!$C$54,'Cash Flow'!$G$21*0.85+PMT(Assumptions!$C$54/12,Assumptions!$C$56*12,E15)*12,'Cash Flow'!$H$21*0.85+PMT(Assumptions!$C$54/12,Assumptions!$C$56*12,E15)*12,'Cash Flow'!$I$21*0.85+PMT(Assumptions!$C$54/12,Assumptions!$C$56*12,E15)*12)/F15,"-")</f>
        <v>0.1230030868972139</v>
      </c>
      <c r="D46" s="378">
        <f>IFERROR(AVERAGE('Cash Flow'!$E$21*0.9-E15*Assumptions!$C$54,'Cash Flow'!$F$21*0.9-E15*Assumptions!$C$54,'Cash Flow'!$G$21*0.9+PMT(Assumptions!$C$54/12,Assumptions!$C$56*12,E15)*12,'Cash Flow'!$H$21*0.9+PMT(Assumptions!$C$54/12,Assumptions!$C$56*12,E15)*12,'Cash Flow'!$I$21*0.9+PMT(Assumptions!$C$54/12,Assumptions!$C$56*12,E15)*12)/F15,"-")</f>
        <v>0.13944007516764659</v>
      </c>
      <c r="E46" s="378">
        <f>IFERROR(AVERAGE('Cash Flow'!$E$21*0.95-E15*Assumptions!$C$54,'Cash Flow'!$F$21*0.95-E15*Assumptions!$C$54,'Cash Flow'!$G$21*0.95+PMT(Assumptions!$C$54/12,Assumptions!$C$56*12,E15)*12,'Cash Flow'!$H$21*0.95+PMT(Assumptions!$C$54/12,Assumptions!$C$56*12,E15)*12,'Cash Flow'!$I$21*0.95+PMT(Assumptions!$C$54/12,Assumptions!$C$56*12,E15)*12)/F15,"-")</f>
        <v>0.15587706343807928</v>
      </c>
      <c r="F46" s="387">
        <f>IFERROR(AVERAGE('Cash Flow'!$E$21*1-E15*Assumptions!$C$54,'Cash Flow'!$F$21*1-E15*Assumptions!$C$54,'Cash Flow'!$G$21*1+PMT(Assumptions!$C$54/12,Assumptions!$C$56*12,E15)*12,'Cash Flow'!$H$21*1+PMT(Assumptions!$C$54/12,Assumptions!$C$56*12,E15)*12,'Cash Flow'!$I$21*1+PMT(Assumptions!$C$54/12,Assumptions!$C$56*12,E15)*12)/F15,"-")</f>
        <v>0.17231405170851197</v>
      </c>
      <c r="G46" s="378">
        <f>IFERROR(AVERAGE('Cash Flow'!$E$21*1.05-E15*Assumptions!$C$54,'Cash Flow'!$F$21*1.05-E15*Assumptions!$C$54,'Cash Flow'!$G$21*1.05+PMT(Assumptions!$C$54/12,Assumptions!$C$56*12,E15)*12,'Cash Flow'!$H$21*1.05+PMT(Assumptions!$C$54/12,Assumptions!$C$56*12,E15)*12,'Cash Flow'!$I$21*1.05+PMT(Assumptions!$C$54/12,Assumptions!$C$56*12,E15)*12)/F15,"-")</f>
        <v>0.18875103997894463</v>
      </c>
      <c r="H46" s="378">
        <f>IFERROR(AVERAGE('Cash Flow'!$E$21*1.1-E15*Assumptions!$C$54,'Cash Flow'!$F$21*1.1-E15*Assumptions!$C$54,'Cash Flow'!$G$21*1.1+PMT(Assumptions!$C$54/12,Assumptions!$C$56*12,E15)*12,'Cash Flow'!$H$21*1.1+PMT(Assumptions!$C$54/12,Assumptions!$C$56*12,E15)*12,'Cash Flow'!$I$21*1.1+PMT(Assumptions!$C$54/12,Assumptions!$C$56*12,E15)*12)/F15,"-")</f>
        <v>0.20518802824937732</v>
      </c>
      <c r="I46" s="378">
        <f>IFERROR(AVERAGE('Cash Flow'!$E$21*1.15-E15*Assumptions!$C$54,'Cash Flow'!$F$21*1.15-E15*Assumptions!$C$54,'Cash Flow'!$G$21*1.15+PMT(Assumptions!$C$54/12,Assumptions!$C$56*12,E15)*12,'Cash Flow'!$H$21*1.15+PMT(Assumptions!$C$54/12,Assumptions!$C$56*12,E15)*12,'Cash Flow'!$I$21*1.15+PMT(Assumptions!$C$54/12,Assumptions!$C$56*12,E15)*12)/F15,"-")</f>
        <v>0.22162501651980998</v>
      </c>
    </row>
    <row r="47" spans="2:30" x14ac:dyDescent="0.2">
      <c r="B47" s="376">
        <v>0.11</v>
      </c>
      <c r="C47" s="379">
        <f>IFERROR(AVERAGE('Cash Flow'!$E$21*0.85-E16*Assumptions!$C$54,'Cash Flow'!$F$21*0.85-E16*Assumptions!$C$54,'Cash Flow'!$G$21*0.85+PMT(Assumptions!$C$54/12,Assumptions!$C$56*12,E16)*12,'Cash Flow'!$H$21*0.85+PMT(Assumptions!$C$54/12,Assumptions!$C$56*12,E16)*12,'Cash Flow'!$I$21*0.85+PMT(Assumptions!$C$54/12,Assumptions!$C$56*12,E16)*12)/F16,"-")</f>
        <v>0.15094596695694942</v>
      </c>
      <c r="D47" s="379">
        <f>IFERROR(AVERAGE('Cash Flow'!$E$21*0.9-E16*Assumptions!$C$54,'Cash Flow'!$F$21*0.9-E16*Assumptions!$C$54,'Cash Flow'!$G$21*0.9+PMT(Assumptions!$C$54/12,Assumptions!$C$56*12,E16)*12,'Cash Flow'!$H$21*0.9+PMT(Assumptions!$C$54/12,Assumptions!$C$56*12,E16)*12,'Cash Flow'!$I$21*0.9+PMT(Assumptions!$C$54/12,Assumptions!$C$56*12,E16)*12)/F16,"-")</f>
        <v>0.16902665405442538</v>
      </c>
      <c r="E47" s="379">
        <f>IFERROR(AVERAGE('Cash Flow'!$E$21*0.95-E16*Assumptions!$C$54,'Cash Flow'!$F$21*0.95-E16*Assumptions!$C$54,'Cash Flow'!$G$21*0.95+PMT(Assumptions!$C$54/12,Assumptions!$C$56*12,E16)*12,'Cash Flow'!$H$21*0.95+PMT(Assumptions!$C$54/12,Assumptions!$C$56*12,E16)*12,'Cash Flow'!$I$21*0.95+PMT(Assumptions!$C$54/12,Assumptions!$C$56*12,E16)*12)/F16,"-")</f>
        <v>0.18710734115190134</v>
      </c>
      <c r="F47" s="387">
        <f>IFERROR(AVERAGE('Cash Flow'!$E$21*1-E16*Assumptions!$C$54,'Cash Flow'!$F$21*1-E16*Assumptions!$C$54,'Cash Flow'!$G$21*1+PMT(Assumptions!$C$54/12,Assumptions!$C$56*12,E16)*12,'Cash Flow'!$H$21*1+PMT(Assumptions!$C$54/12,Assumptions!$C$56*12,E16)*12,'Cash Flow'!$I$21*1+PMT(Assumptions!$C$54/12,Assumptions!$C$56*12,E16)*12)/F16,"-")</f>
        <v>0.20518802824937735</v>
      </c>
      <c r="G47" s="379">
        <f>IFERROR(AVERAGE('Cash Flow'!$E$21*1.05-E16*Assumptions!$C$54,'Cash Flow'!$F$21*1.05-E16*Assumptions!$C$54,'Cash Flow'!$G$21*1.05+PMT(Assumptions!$C$54/12,Assumptions!$C$56*12,E16)*12,'Cash Flow'!$H$21*1.05+PMT(Assumptions!$C$54/12,Assumptions!$C$56*12,E16)*12,'Cash Flow'!$I$21*1.05+PMT(Assumptions!$C$54/12,Assumptions!$C$56*12,E16)*12)/F16,"-")</f>
        <v>0.22326871534685325</v>
      </c>
      <c r="H47" s="379">
        <f>IFERROR(AVERAGE('Cash Flow'!$E$21*1.1-E16*Assumptions!$C$54,'Cash Flow'!$F$21*1.1-E16*Assumptions!$C$54,'Cash Flow'!$G$21*1.1+PMT(Assumptions!$C$54/12,Assumptions!$C$56*12,E16)*12,'Cash Flow'!$H$21*1.1+PMT(Assumptions!$C$54/12,Assumptions!$C$56*12,E16)*12,'Cash Flow'!$I$21*1.1+PMT(Assumptions!$C$54/12,Assumptions!$C$56*12,E16)*12)/F16,"-")</f>
        <v>0.24134940244432926</v>
      </c>
      <c r="I47" s="379">
        <f>IFERROR(AVERAGE('Cash Flow'!$E$21*1.15-E16*Assumptions!$C$54,'Cash Flow'!$F$21*1.15-E16*Assumptions!$C$54,'Cash Flow'!$G$21*1.15+PMT(Assumptions!$C$54/12,Assumptions!$C$56*12,E16)*12,'Cash Flow'!$H$21*1.15+PMT(Assumptions!$C$54/12,Assumptions!$C$56*12,E16)*12,'Cash Flow'!$I$21*1.15+PMT(Assumptions!$C$54/12,Assumptions!$C$56*12,E16)*12)/F16,"-")</f>
        <v>0.25943008954180513</v>
      </c>
    </row>
    <row r="48" spans="2:30" x14ac:dyDescent="0.2">
      <c r="B48" s="376">
        <v>0.12</v>
      </c>
      <c r="C48" s="378">
        <f>IFERROR(AVERAGE('Cash Flow'!$E$21*0.85-E17*Assumptions!$C$54,'Cash Flow'!$F$21*0.85-E17*Assumptions!$C$54,'Cash Flow'!$G$21*0.85+PMT(Assumptions!$C$54/12,Assumptions!$C$56*12,E17)*12,'Cash Flow'!$H$21*0.85+PMT(Assumptions!$C$54/12,Assumptions!$C$56*12,E17)*12,'Cash Flow'!$I$21*0.85+PMT(Assumptions!$C$54/12,Assumptions!$C$56*12,E17)*12)/F17,"-")</f>
        <v>0.17888884701668509</v>
      </c>
      <c r="D48" s="378">
        <f>IFERROR(AVERAGE('Cash Flow'!$E$21*0.9-E17*Assumptions!$C$54,'Cash Flow'!$F$21*0.9-E17*Assumptions!$C$54,'Cash Flow'!$G$21*0.9+PMT(Assumptions!$C$54/12,Assumptions!$C$56*12,E17)*12,'Cash Flow'!$H$21*0.9+PMT(Assumptions!$C$54/12,Assumptions!$C$56*12,E17)*12,'Cash Flow'!$I$21*0.9+PMT(Assumptions!$C$54/12,Assumptions!$C$56*12,E17)*12)/F17,"-")</f>
        <v>0.19861323294120431</v>
      </c>
      <c r="E48" s="378">
        <f>IFERROR(AVERAGE('Cash Flow'!$E$21*0.95-E17*Assumptions!$C$54,'Cash Flow'!$F$21*0.95-E17*Assumptions!$C$54,'Cash Flow'!$G$21*0.95+PMT(Assumptions!$C$54/12,Assumptions!$C$56*12,E17)*12,'Cash Flow'!$H$21*0.95+PMT(Assumptions!$C$54/12,Assumptions!$C$56*12,E17)*12,'Cash Flow'!$I$21*0.95+PMT(Assumptions!$C$54/12,Assumptions!$C$56*12,E17)*12)/F17,"-")</f>
        <v>0.21833761886572353</v>
      </c>
      <c r="F48" s="387">
        <f>IFERROR(AVERAGE('Cash Flow'!$E$21*1-E17*Assumptions!$C$54,'Cash Flow'!$F$21*1-E17*Assumptions!$C$54,'Cash Flow'!$G$21*1+PMT(Assumptions!$C$54/12,Assumptions!$C$56*12,E17)*12,'Cash Flow'!$H$21*1+PMT(Assumptions!$C$54/12,Assumptions!$C$56*12,E17)*12,'Cash Flow'!$I$21*1+PMT(Assumptions!$C$54/12,Assumptions!$C$56*12,E17)*12)/F17,"-")</f>
        <v>0.23806200479024275</v>
      </c>
      <c r="G48" s="378">
        <f>IFERROR(AVERAGE('Cash Flow'!$E$21*1.05-E17*Assumptions!$C$54,'Cash Flow'!$F$21*1.05-E17*Assumptions!$C$54,'Cash Flow'!$G$21*1.05+PMT(Assumptions!$C$54/12,Assumptions!$C$56*12,E17)*12,'Cash Flow'!$H$21*1.05+PMT(Assumptions!$C$54/12,Assumptions!$C$56*12,E17)*12,'Cash Flow'!$I$21*1.05+PMT(Assumptions!$C$54/12,Assumptions!$C$56*12,E17)*12)/F17,"-")</f>
        <v>0.25778639071476195</v>
      </c>
      <c r="H48" s="378">
        <f>IFERROR(AVERAGE('Cash Flow'!$E$21*1.1-E17*Assumptions!$C$54,'Cash Flow'!$F$21*1.1-E17*Assumptions!$C$54,'Cash Flow'!$G$21*1.1+PMT(Assumptions!$C$54/12,Assumptions!$C$56*12,E17)*12,'Cash Flow'!$H$21*1.1+PMT(Assumptions!$C$54/12,Assumptions!$C$56*12,E17)*12,'Cash Flow'!$I$21*1.1+PMT(Assumptions!$C$54/12,Assumptions!$C$56*12,E17)*12)/F17,"-")</f>
        <v>0.27751077663928125</v>
      </c>
      <c r="I48" s="378">
        <f>IFERROR(AVERAGE('Cash Flow'!$E$21*1.15-E17*Assumptions!$C$54,'Cash Flow'!$F$21*1.15-E17*Assumptions!$C$54,'Cash Flow'!$G$21*1.15+PMT(Assumptions!$C$54/12,Assumptions!$C$56*12,E17)*12,'Cash Flow'!$H$21*1.15+PMT(Assumptions!$C$54/12,Assumptions!$C$56*12,E17)*12,'Cash Flow'!$I$21*1.15+PMT(Assumptions!$C$54/12,Assumptions!$C$56*12,E17)*12)/F17,"-")</f>
        <v>0.29723516256380039</v>
      </c>
    </row>
    <row r="49" spans="2:9" x14ac:dyDescent="0.2">
      <c r="B49" s="376">
        <v>0.13</v>
      </c>
      <c r="C49" s="379">
        <f>IFERROR(AVERAGE('Cash Flow'!$E$21*0.85-E18*Assumptions!$C$54,'Cash Flow'!$F$21*0.85-E18*Assumptions!$C$54,'Cash Flow'!$G$21*0.85+PMT(Assumptions!$C$54/12,Assumptions!$C$56*12,E18)*12,'Cash Flow'!$H$21*0.85+PMT(Assumptions!$C$54/12,Assumptions!$C$56*12,E18)*12,'Cash Flow'!$I$21*0.85+PMT(Assumptions!$C$54/12,Assumptions!$C$56*12,E18)*12)/F18,"-")</f>
        <v>0.20683172707642064</v>
      </c>
      <c r="D49" s="379">
        <f>IFERROR(AVERAGE('Cash Flow'!$E$21*0.9-E18*Assumptions!$C$54,'Cash Flow'!$F$21*0.9-E18*Assumptions!$C$54,'Cash Flow'!$G$21*0.9+PMT(Assumptions!$C$54/12,Assumptions!$C$56*12,E18)*12,'Cash Flow'!$H$21*0.9+PMT(Assumptions!$C$54/12,Assumptions!$C$56*12,E18)*12,'Cash Flow'!$I$21*0.9+PMT(Assumptions!$C$54/12,Assumptions!$C$56*12,E18)*12)/F18,"-")</f>
        <v>0.22819981182798313</v>
      </c>
      <c r="E49" s="379">
        <f>IFERROR(AVERAGE('Cash Flow'!$E$21*0.95-E18*Assumptions!$C$54,'Cash Flow'!$F$21*0.95-E18*Assumptions!$C$54,'Cash Flow'!$G$21*0.95+PMT(Assumptions!$C$54/12,Assumptions!$C$56*12,E18)*12,'Cash Flow'!$H$21*0.95+PMT(Assumptions!$C$54/12,Assumptions!$C$56*12,E18)*12,'Cash Flow'!$I$21*0.95+PMT(Assumptions!$C$54/12,Assumptions!$C$56*12,E18)*12)/F18,"-")</f>
        <v>0.24956789657954564</v>
      </c>
      <c r="F49" s="387">
        <f>IFERROR(AVERAGE('Cash Flow'!$E$21*1-E18*Assumptions!$C$54,'Cash Flow'!$F$21*1-E18*Assumptions!$C$54,'Cash Flow'!$G$21*1+PMT(Assumptions!$C$54/12,Assumptions!$C$56*12,E18)*12,'Cash Flow'!$H$21*1+PMT(Assumptions!$C$54/12,Assumptions!$C$56*12,E18)*12,'Cash Flow'!$I$21*1+PMT(Assumptions!$C$54/12,Assumptions!$C$56*12,E18)*12)/F18,"-")</f>
        <v>0.27093598133110813</v>
      </c>
      <c r="G49" s="379">
        <f>IFERROR(AVERAGE('Cash Flow'!$E$21*1.05-E18*Assumptions!$C$54,'Cash Flow'!$F$21*1.05-E18*Assumptions!$C$54,'Cash Flow'!$G$21*1.05+PMT(Assumptions!$C$54/12,Assumptions!$C$56*12,E18)*12,'Cash Flow'!$H$21*1.05+PMT(Assumptions!$C$54/12,Assumptions!$C$56*12,E18)*12,'Cash Flow'!$I$21*1.05+PMT(Assumptions!$C$54/12,Assumptions!$C$56*12,E18)*12)/F18,"-")</f>
        <v>0.29230406608267062</v>
      </c>
      <c r="H49" s="379">
        <f>IFERROR(AVERAGE('Cash Flow'!$E$21*1.1-E18*Assumptions!$C$54,'Cash Flow'!$F$21*1.1-E18*Assumptions!$C$54,'Cash Flow'!$G$21*1.1+PMT(Assumptions!$C$54/12,Assumptions!$C$56*12,E18)*12,'Cash Flow'!$H$21*1.1+PMT(Assumptions!$C$54/12,Assumptions!$C$56*12,E18)*12,'Cash Flow'!$I$21*1.1+PMT(Assumptions!$C$54/12,Assumptions!$C$56*12,E18)*12)/F18,"-")</f>
        <v>0.31367215083423317</v>
      </c>
      <c r="I49" s="379">
        <f>IFERROR(AVERAGE('Cash Flow'!$E$21*1.15-E18*Assumptions!$C$54,'Cash Flow'!$F$21*1.15-E18*Assumptions!$C$54,'Cash Flow'!$G$21*1.15+PMT(Assumptions!$C$54/12,Assumptions!$C$56*12,E18)*12,'Cash Flow'!$H$21*1.15+PMT(Assumptions!$C$54/12,Assumptions!$C$56*12,E18)*12,'Cash Flow'!$I$21*1.15+PMT(Assumptions!$C$54/12,Assumptions!$C$56*12,E18)*12)/F18,"-")</f>
        <v>0.33504023558579554</v>
      </c>
    </row>
    <row r="50" spans="2:9" x14ac:dyDescent="0.2">
      <c r="B50" s="376">
        <v>0.14000000000000001</v>
      </c>
      <c r="C50" s="378">
        <f>IFERROR(AVERAGE('Cash Flow'!$E$21*0.85-E19*Assumptions!$C$54,'Cash Flow'!$F$21*0.85-E19*Assumptions!$C$54,'Cash Flow'!$G$21*0.85+PMT(Assumptions!$C$54/12,Assumptions!$C$56*12,E19)*12,'Cash Flow'!$H$21*0.85+PMT(Assumptions!$C$54/12,Assumptions!$C$56*12,E19)*12,'Cash Flow'!$I$21*0.85+PMT(Assumptions!$C$54/12,Assumptions!$C$56*12,E19)*12)/F19,"-")</f>
        <v>0.23477460713615633</v>
      </c>
      <c r="D50" s="378">
        <f>IFERROR(AVERAGE('Cash Flow'!$E$21*0.9-E19*Assumptions!$C$54,'Cash Flow'!$F$21*0.9-E19*Assumptions!$C$54,'Cash Flow'!$G$21*0.9+PMT(Assumptions!$C$54/12,Assumptions!$C$56*12,E19)*12,'Cash Flow'!$H$21*0.9+PMT(Assumptions!$C$54/12,Assumptions!$C$56*12,E19)*12,'Cash Flow'!$I$21*0.9+PMT(Assumptions!$C$54/12,Assumptions!$C$56*12,E19)*12)/F19,"-")</f>
        <v>0.25778639071476211</v>
      </c>
      <c r="E50" s="378">
        <f>IFERROR(AVERAGE('Cash Flow'!$E$21*0.95-E19*Assumptions!$C$54,'Cash Flow'!$F$21*0.95-E19*Assumptions!$C$54,'Cash Flow'!$G$21*0.95+PMT(Assumptions!$C$54/12,Assumptions!$C$56*12,E19)*12,'Cash Flow'!$H$21*0.95+PMT(Assumptions!$C$54/12,Assumptions!$C$56*12,E19)*12,'Cash Flow'!$I$21*0.95+PMT(Assumptions!$C$54/12,Assumptions!$C$56*12,E19)*12)/F19,"-")</f>
        <v>0.28079817429336784</v>
      </c>
      <c r="F50" s="387">
        <f>IFERROR(AVERAGE('Cash Flow'!$E$21*1-E19*Assumptions!$C$54,'Cash Flow'!$F$21*1-E19*Assumptions!$C$54,'Cash Flow'!$G$21*1+PMT(Assumptions!$C$54/12,Assumptions!$C$56*12,E19)*12,'Cash Flow'!$H$21*1+PMT(Assumptions!$C$54/12,Assumptions!$C$56*12,E19)*12,'Cash Flow'!$I$21*1+PMT(Assumptions!$C$54/12,Assumptions!$C$56*12,E19)*12)/F19,"-")</f>
        <v>0.30380995787197357</v>
      </c>
      <c r="G50" s="378">
        <f>IFERROR(AVERAGE('Cash Flow'!$E$21*1.05-E19*Assumptions!$C$54,'Cash Flow'!$F$21*1.05-E19*Assumptions!$C$54,'Cash Flow'!$G$21*1.05+PMT(Assumptions!$C$54/12,Assumptions!$C$56*12,E19)*12,'Cash Flow'!$H$21*1.05+PMT(Assumptions!$C$54/12,Assumptions!$C$56*12,E19)*12,'Cash Flow'!$I$21*1.05+PMT(Assumptions!$C$54/12,Assumptions!$C$56*12,E19)*12)/F19,"-")</f>
        <v>0.32682174145057946</v>
      </c>
      <c r="H50" s="378">
        <f>IFERROR(AVERAGE('Cash Flow'!$E$21*1.1-E19*Assumptions!$C$54,'Cash Flow'!$F$21*1.1-E19*Assumptions!$C$54,'Cash Flow'!$G$21*1.1+PMT(Assumptions!$C$54/12,Assumptions!$C$56*12,E19)*12,'Cash Flow'!$H$21*1.1+PMT(Assumptions!$C$54/12,Assumptions!$C$56*12,E19)*12,'Cash Flow'!$I$21*1.1+PMT(Assumptions!$C$54/12,Assumptions!$C$56*12,E19)*12)/F19,"-")</f>
        <v>0.34983352502918524</v>
      </c>
      <c r="I50" s="378">
        <f>IFERROR(AVERAGE('Cash Flow'!$E$21*1.15-E19*Assumptions!$C$54,'Cash Flow'!$F$21*1.15-E19*Assumptions!$C$54,'Cash Flow'!$G$21*1.15+PMT(Assumptions!$C$54/12,Assumptions!$C$56*12,E19)*12,'Cash Flow'!$H$21*1.15+PMT(Assumptions!$C$54/12,Assumptions!$C$56*12,E19)*12,'Cash Flow'!$I$21*1.15+PMT(Assumptions!$C$54/12,Assumptions!$C$56*12,E19)*12)/F19,"-")</f>
        <v>0.37284530860779092</v>
      </c>
    </row>
    <row r="51" spans="2:9" x14ac:dyDescent="0.2">
      <c r="B51" s="376">
        <v>0.15</v>
      </c>
      <c r="C51" s="379">
        <f>IFERROR(AVERAGE('Cash Flow'!$E$21*0.85-E20*Assumptions!$C$54,'Cash Flow'!$F$21*0.85-E20*Assumptions!$C$54,'Cash Flow'!$G$21*0.85+PMT(Assumptions!$C$54/12,Assumptions!$C$56*12,E20)*12,'Cash Flow'!$H$21*0.85+PMT(Assumptions!$C$54/12,Assumptions!$C$56*12,E20)*12,'Cash Flow'!$I$21*0.85+PMT(Assumptions!$C$54/12,Assumptions!$C$56*12,E20)*12)/F20,"-")</f>
        <v>0.26271748719589172</v>
      </c>
      <c r="D51" s="379">
        <f>IFERROR(AVERAGE('Cash Flow'!$E$21*0.9-E20*Assumptions!$C$54,'Cash Flow'!$F$21*0.9-E20*Assumptions!$C$54,'Cash Flow'!$G$21*0.9+PMT(Assumptions!$C$54/12,Assumptions!$C$56*12,E20)*12,'Cash Flow'!$H$21*0.9+PMT(Assumptions!$C$54/12,Assumptions!$C$56*12,E20)*12,'Cash Flow'!$I$21*0.9+PMT(Assumptions!$C$54/12,Assumptions!$C$56*12,E20)*12)/F20,"-")</f>
        <v>0.28737296960154074</v>
      </c>
      <c r="E51" s="379">
        <f>IFERROR(AVERAGE('Cash Flow'!$E$21*0.95-E20*Assumptions!$C$54,'Cash Flow'!$F$21*0.95-E20*Assumptions!$C$54,'Cash Flow'!$G$21*0.95+PMT(Assumptions!$C$54/12,Assumptions!$C$56*12,E20)*12,'Cash Flow'!$H$21*0.95+PMT(Assumptions!$C$54/12,Assumptions!$C$56*12,E20)*12,'Cash Flow'!$I$21*0.95+PMT(Assumptions!$C$54/12,Assumptions!$C$56*12,E20)*12)/F20,"-")</f>
        <v>0.31202845200718976</v>
      </c>
      <c r="F51" s="387">
        <f>IFERROR(AVERAGE('Cash Flow'!$E$21*1-E20*Assumptions!$C$54,'Cash Flow'!$F$21*1-E20*Assumptions!$C$54,'Cash Flow'!$G$21*1+PMT(Assumptions!$C$54/12,Assumptions!$C$56*12,E20)*12,'Cash Flow'!$H$21*1+PMT(Assumptions!$C$54/12,Assumptions!$C$56*12,E20)*12,'Cash Flow'!$I$21*1+PMT(Assumptions!$C$54/12,Assumptions!$C$56*12,E20)*12)/F20,"-")</f>
        <v>0.33668393441283884</v>
      </c>
      <c r="G51" s="379">
        <f>IFERROR(AVERAGE('Cash Flow'!$E$21*1.05-E20*Assumptions!$C$54,'Cash Flow'!$F$21*1.05-E20*Assumptions!$C$54,'Cash Flow'!$G$21*1.05+PMT(Assumptions!$C$54/12,Assumptions!$C$56*12,E20)*12,'Cash Flow'!$H$21*1.05+PMT(Assumptions!$C$54/12,Assumptions!$C$56*12,E20)*12,'Cash Flow'!$I$21*1.05+PMT(Assumptions!$C$54/12,Assumptions!$C$56*12,E20)*12)/F20,"-")</f>
        <v>0.36133941681848791</v>
      </c>
      <c r="H51" s="379">
        <f>IFERROR(AVERAGE('Cash Flow'!$E$21*1.1-E20*Assumptions!$C$54,'Cash Flow'!$F$21*1.1-E20*Assumptions!$C$54,'Cash Flow'!$G$21*1.1+PMT(Assumptions!$C$54/12,Assumptions!$C$56*12,E20)*12,'Cash Flow'!$H$21*1.1+PMT(Assumptions!$C$54/12,Assumptions!$C$56*12,E20)*12,'Cash Flow'!$I$21*1.1+PMT(Assumptions!$C$54/12,Assumptions!$C$56*12,E20)*12)/F20,"-")</f>
        <v>0.38599489922413688</v>
      </c>
      <c r="I51" s="379">
        <f>IFERROR(AVERAGE('Cash Flow'!$E$21*1.15-E20*Assumptions!$C$54,'Cash Flow'!$F$21*1.15-E20*Assumptions!$C$54,'Cash Flow'!$G$21*1.15+PMT(Assumptions!$C$54/12,Assumptions!$C$56*12,E20)*12,'Cash Flow'!$H$21*1.15+PMT(Assumptions!$C$54/12,Assumptions!$C$56*12,E20)*12,'Cash Flow'!$I$21*1.15+PMT(Assumptions!$C$54/12,Assumptions!$C$56*12,E20)*12)/F20,"-")</f>
        <v>0.41065038162978579</v>
      </c>
    </row>
    <row r="53" spans="2:9" x14ac:dyDescent="0.2">
      <c r="B53" s="370" t="s">
        <v>266</v>
      </c>
      <c r="C53" s="388" t="s">
        <v>267</v>
      </c>
      <c r="D53" s="389" t="s">
        <v>268</v>
      </c>
      <c r="E53" s="390" t="s">
        <v>269</v>
      </c>
      <c r="F53" s="385" t="s">
        <v>270</v>
      </c>
      <c r="G53" s="391" t="s">
        <v>271</v>
      </c>
    </row>
    <row r="55" spans="2:9" ht="40" customHeight="1" x14ac:dyDescent="0.2">
      <c r="B55" s="370" t="s">
        <v>273</v>
      </c>
      <c r="C55" s="394" t="str">
        <f>"Current asking price ($"&amp;TEXT(Assumptions!$C$7,"#,##0")&amp;") implies a "&amp;TEXT('Cash Flow'!$E$21/Assumptions!$C$7,"0.0%")&amp;" entry cap on Yr1 NOI ($"&amp;TEXT('Cash Flow'!$E$21,"#,##0")&amp;"). All scenarios above are at lower implied prices. Use to determine max bid to hit your IRR and CoC targets."</f>
        <v>Current asking price ($12,500,000) implies a 0.1% entry cap on Yr1 NOI ($11,207). All scenarios above are at lower implied prices. Use to determine max bid to hit your IRR and CoC targets.</v>
      </c>
    </row>
    <row r="300" spans="14:19" hidden="1" x14ac:dyDescent="0.2">
      <c r="N300" s="393">
        <f>N10</f>
        <v>-71727.552000000025</v>
      </c>
      <c r="O300" s="393">
        <f>O10</f>
        <v>1008.6687000000002</v>
      </c>
      <c r="P300" s="393">
        <f>P10</f>
        <v>1344.8916000000008</v>
      </c>
      <c r="Q300" s="393">
        <f>Q10</f>
        <v>-99.716498940055317</v>
      </c>
      <c r="R300" s="393">
        <f>R10</f>
        <v>163.30119251994256</v>
      </c>
      <c r="S300" s="393">
        <f>V26</f>
        <v>151303.3886195106</v>
      </c>
    </row>
    <row r="301" spans="14:19" hidden="1" x14ac:dyDescent="0.2">
      <c r="N301" s="393">
        <f>N10</f>
        <v>-71727.552000000025</v>
      </c>
      <c r="O301" s="393">
        <f>O10</f>
        <v>1008.6687000000002</v>
      </c>
      <c r="P301" s="393">
        <f>P10</f>
        <v>1344.8916000000008</v>
      </c>
      <c r="Q301" s="393">
        <f>Q10</f>
        <v>-99.716498940055317</v>
      </c>
      <c r="R301" s="393">
        <f>R10</f>
        <v>163.30119251994256</v>
      </c>
      <c r="S301" s="393">
        <f>W26</f>
        <v>117730.7238242304</v>
      </c>
    </row>
    <row r="302" spans="14:19" hidden="1" x14ac:dyDescent="0.2">
      <c r="N302" s="393">
        <f>N10</f>
        <v>-71727.552000000025</v>
      </c>
      <c r="O302" s="393">
        <f>O10</f>
        <v>1008.6687000000002</v>
      </c>
      <c r="P302" s="393">
        <f>P10</f>
        <v>1344.8916000000008</v>
      </c>
      <c r="Q302" s="393">
        <f>Q10</f>
        <v>-99.716498940055317</v>
      </c>
      <c r="R302" s="393">
        <f>R10</f>
        <v>163.30119251994256</v>
      </c>
      <c r="S302" s="393">
        <f>X26</f>
        <v>90872.59198800617</v>
      </c>
    </row>
    <row r="303" spans="14:19" hidden="1" x14ac:dyDescent="0.2">
      <c r="N303" s="393">
        <f>N10</f>
        <v>-71727.552000000025</v>
      </c>
      <c r="O303" s="393">
        <f>O10</f>
        <v>1008.6687000000002</v>
      </c>
      <c r="P303" s="393">
        <f>P10</f>
        <v>1344.8916000000008</v>
      </c>
      <c r="Q303" s="393">
        <f>Q10</f>
        <v>-99.716498940055317</v>
      </c>
      <c r="R303" s="393">
        <f>R10</f>
        <v>163.30119251994256</v>
      </c>
      <c r="S303" s="393">
        <f>Y26</f>
        <v>68897.75684927727</v>
      </c>
    </row>
    <row r="304" spans="14:19" hidden="1" x14ac:dyDescent="0.2">
      <c r="N304" s="393">
        <f>N10</f>
        <v>-71727.552000000025</v>
      </c>
      <c r="O304" s="393">
        <f>O10</f>
        <v>1008.6687000000002</v>
      </c>
      <c r="P304" s="393">
        <f>P10</f>
        <v>1344.8916000000008</v>
      </c>
      <c r="Q304" s="393">
        <f>Q10</f>
        <v>-99.716498940055317</v>
      </c>
      <c r="R304" s="393">
        <f>R10</f>
        <v>163.30119251994256</v>
      </c>
      <c r="S304" s="393">
        <f>Z26</f>
        <v>50585.394233669853</v>
      </c>
    </row>
    <row r="305" spans="14:19" hidden="1" x14ac:dyDescent="0.2">
      <c r="N305" s="393">
        <f>N10</f>
        <v>-71727.552000000025</v>
      </c>
      <c r="O305" s="393">
        <f>O10</f>
        <v>1008.6687000000002</v>
      </c>
      <c r="P305" s="393">
        <f>P10</f>
        <v>1344.8916000000008</v>
      </c>
      <c r="Q305" s="393">
        <f>Q10</f>
        <v>-99.716498940055317</v>
      </c>
      <c r="R305" s="393">
        <f>R10</f>
        <v>163.30119251994256</v>
      </c>
      <c r="S305" s="393">
        <f>AA26</f>
        <v>35090.318174309738</v>
      </c>
    </row>
    <row r="306" spans="14:19" hidden="1" x14ac:dyDescent="0.2">
      <c r="N306" s="393">
        <f>N10</f>
        <v>-71727.552000000025</v>
      </c>
      <c r="O306" s="393">
        <f>O10</f>
        <v>1008.6687000000002</v>
      </c>
      <c r="P306" s="393">
        <f>P10</f>
        <v>1344.8916000000008</v>
      </c>
      <c r="Q306" s="393">
        <f>Q10</f>
        <v>-99.716498940055317</v>
      </c>
      <c r="R306" s="393">
        <f>R10</f>
        <v>163.30119251994256</v>
      </c>
      <c r="S306" s="393">
        <f>AB26</f>
        <v>21808.824409143912</v>
      </c>
    </row>
    <row r="307" spans="14:19" hidden="1" x14ac:dyDescent="0.2">
      <c r="N307" s="393">
        <f>N10</f>
        <v>-71727.552000000025</v>
      </c>
      <c r="O307" s="393">
        <f>O10</f>
        <v>1008.6687000000002</v>
      </c>
      <c r="P307" s="393">
        <f>P10</f>
        <v>1344.8916000000008</v>
      </c>
      <c r="Q307" s="393">
        <f>Q10</f>
        <v>-99.716498940055317</v>
      </c>
      <c r="R307" s="393">
        <f>R10</f>
        <v>163.30119251994256</v>
      </c>
      <c r="S307" s="393">
        <f>AC26</f>
        <v>10298.196479333536</v>
      </c>
    </row>
    <row r="308" spans="14:19" hidden="1" x14ac:dyDescent="0.2">
      <c r="N308" s="393">
        <f t="shared" ref="N308:R309" si="5">N10</f>
        <v>-71727.552000000025</v>
      </c>
      <c r="O308" s="393">
        <f t="shared" si="5"/>
        <v>1008.6687000000002</v>
      </c>
      <c r="P308" s="393">
        <f t="shared" si="5"/>
        <v>1344.8916000000008</v>
      </c>
      <c r="Q308" s="393">
        <f t="shared" si="5"/>
        <v>-99.716498940055317</v>
      </c>
      <c r="R308" s="393">
        <f t="shared" si="5"/>
        <v>163.30119251994256</v>
      </c>
      <c r="S308" s="393">
        <f>AD26</f>
        <v>226.39704074943438</v>
      </c>
    </row>
    <row r="309" spans="14:19" hidden="1" x14ac:dyDescent="0.2">
      <c r="N309" s="393">
        <f t="shared" si="5"/>
        <v>-59772.960000000006</v>
      </c>
      <c r="O309" s="393">
        <f t="shared" si="5"/>
        <v>2708.4622500000005</v>
      </c>
      <c r="P309" s="393">
        <f t="shared" si="5"/>
        <v>3044.6851500000012</v>
      </c>
      <c r="Q309" s="393">
        <f t="shared" si="5"/>
        <v>1883.7637770499532</v>
      </c>
      <c r="R309" s="393">
        <f t="shared" si="5"/>
        <v>2146.7814685099511</v>
      </c>
      <c r="S309" s="393">
        <f>V27</f>
        <v>178500.62364902633</v>
      </c>
    </row>
    <row r="310" spans="14:19" hidden="1" x14ac:dyDescent="0.2">
      <c r="N310" s="393">
        <f>N11</f>
        <v>-59772.960000000006</v>
      </c>
      <c r="O310" s="393">
        <f>O11</f>
        <v>2708.4622500000005</v>
      </c>
      <c r="P310" s="393">
        <f>P11</f>
        <v>3044.6851500000012</v>
      </c>
      <c r="Q310" s="393">
        <f>Q11</f>
        <v>1883.7637770499532</v>
      </c>
      <c r="R310" s="393">
        <f>R11</f>
        <v>2146.7814685099511</v>
      </c>
      <c r="S310" s="393">
        <f>W27</f>
        <v>144927.95885374612</v>
      </c>
    </row>
    <row r="311" spans="14:19" hidden="1" x14ac:dyDescent="0.2">
      <c r="N311" s="393">
        <f>N11</f>
        <v>-59772.960000000006</v>
      </c>
      <c r="O311" s="393">
        <f>O11</f>
        <v>2708.4622500000005</v>
      </c>
      <c r="P311" s="393">
        <f>P11</f>
        <v>3044.6851500000012</v>
      </c>
      <c r="Q311" s="393">
        <f>Q11</f>
        <v>1883.7637770499532</v>
      </c>
      <c r="R311" s="393">
        <f>R11</f>
        <v>2146.7814685099511</v>
      </c>
      <c r="S311" s="393">
        <f>X27</f>
        <v>118069.82701752188</v>
      </c>
    </row>
    <row r="312" spans="14:19" hidden="1" x14ac:dyDescent="0.2">
      <c r="N312" s="393">
        <f>N11</f>
        <v>-59772.960000000006</v>
      </c>
      <c r="O312" s="393">
        <f>O11</f>
        <v>2708.4622500000005</v>
      </c>
      <c r="P312" s="393">
        <f>P11</f>
        <v>3044.6851500000012</v>
      </c>
      <c r="Q312" s="393">
        <f>Q11</f>
        <v>1883.7637770499532</v>
      </c>
      <c r="R312" s="393">
        <f>R11</f>
        <v>2146.7814685099511</v>
      </c>
      <c r="S312" s="393">
        <f>Y27</f>
        <v>96094.991878792978</v>
      </c>
    </row>
    <row r="313" spans="14:19" hidden="1" x14ac:dyDescent="0.2">
      <c r="N313" s="393">
        <f>N11</f>
        <v>-59772.960000000006</v>
      </c>
      <c r="O313" s="393">
        <f>O11</f>
        <v>2708.4622500000005</v>
      </c>
      <c r="P313" s="393">
        <f>P11</f>
        <v>3044.6851500000012</v>
      </c>
      <c r="Q313" s="393">
        <f>Q11</f>
        <v>1883.7637770499532</v>
      </c>
      <c r="R313" s="393">
        <f>R11</f>
        <v>2146.7814685099511</v>
      </c>
      <c r="S313" s="393">
        <f>Z27</f>
        <v>77782.629263185561</v>
      </c>
    </row>
    <row r="314" spans="14:19" hidden="1" x14ac:dyDescent="0.2">
      <c r="N314" s="393">
        <f>N11</f>
        <v>-59772.960000000006</v>
      </c>
      <c r="O314" s="393">
        <f>O11</f>
        <v>2708.4622500000005</v>
      </c>
      <c r="P314" s="393">
        <f>P11</f>
        <v>3044.6851500000012</v>
      </c>
      <c r="Q314" s="393">
        <f>Q11</f>
        <v>1883.7637770499532</v>
      </c>
      <c r="R314" s="393">
        <f>R11</f>
        <v>2146.7814685099511</v>
      </c>
      <c r="S314" s="393">
        <f>AA27</f>
        <v>62287.553203825446</v>
      </c>
    </row>
    <row r="315" spans="14:19" hidden="1" x14ac:dyDescent="0.2">
      <c r="N315" s="393">
        <f>N11</f>
        <v>-59772.960000000006</v>
      </c>
      <c r="O315" s="393">
        <f>O11</f>
        <v>2708.4622500000005</v>
      </c>
      <c r="P315" s="393">
        <f>P11</f>
        <v>3044.6851500000012</v>
      </c>
      <c r="Q315" s="393">
        <f>Q11</f>
        <v>1883.7637770499532</v>
      </c>
      <c r="R315" s="393">
        <f>R11</f>
        <v>2146.7814685099511</v>
      </c>
      <c r="S315" s="393">
        <f>AB27</f>
        <v>49006.05943865962</v>
      </c>
    </row>
    <row r="316" spans="14:19" hidden="1" x14ac:dyDescent="0.2">
      <c r="N316" s="393">
        <f>N11</f>
        <v>-59772.960000000006</v>
      </c>
      <c r="O316" s="393">
        <f>O11</f>
        <v>2708.4622500000005</v>
      </c>
      <c r="P316" s="393">
        <f>P11</f>
        <v>3044.6851500000012</v>
      </c>
      <c r="Q316" s="393">
        <f>Q11</f>
        <v>1883.7637770499532</v>
      </c>
      <c r="R316" s="393">
        <f>R11</f>
        <v>2146.7814685099511</v>
      </c>
      <c r="S316" s="393">
        <f>AC27</f>
        <v>37495.431508849244</v>
      </c>
    </row>
    <row r="317" spans="14:19" hidden="1" x14ac:dyDescent="0.2">
      <c r="N317" s="393">
        <f t="shared" ref="N317:R318" si="6">N11</f>
        <v>-59772.960000000006</v>
      </c>
      <c r="O317" s="393">
        <f t="shared" si="6"/>
        <v>2708.4622500000005</v>
      </c>
      <c r="P317" s="393">
        <f t="shared" si="6"/>
        <v>3044.6851500000012</v>
      </c>
      <c r="Q317" s="393">
        <f t="shared" si="6"/>
        <v>1883.7637770499532</v>
      </c>
      <c r="R317" s="393">
        <f t="shared" si="6"/>
        <v>2146.7814685099511</v>
      </c>
      <c r="S317" s="393">
        <f>AD27</f>
        <v>27423.632070265143</v>
      </c>
    </row>
    <row r="318" spans="14:19" hidden="1" x14ac:dyDescent="0.2">
      <c r="N318" s="393">
        <f t="shared" si="6"/>
        <v>-51233.965714285703</v>
      </c>
      <c r="O318" s="393">
        <f t="shared" si="6"/>
        <v>3922.6005000000005</v>
      </c>
      <c r="P318" s="393">
        <f t="shared" si="6"/>
        <v>4258.8234000000011</v>
      </c>
      <c r="Q318" s="393">
        <f t="shared" si="6"/>
        <v>3300.5354027571047</v>
      </c>
      <c r="R318" s="393">
        <f t="shared" si="6"/>
        <v>3563.5530942171026</v>
      </c>
      <c r="S318" s="393">
        <f>V28</f>
        <v>197927.22009868041</v>
      </c>
    </row>
    <row r="319" spans="14:19" hidden="1" x14ac:dyDescent="0.2">
      <c r="N319" s="393">
        <f>N12</f>
        <v>-51233.965714285703</v>
      </c>
      <c r="O319" s="393">
        <f>O12</f>
        <v>3922.6005000000005</v>
      </c>
      <c r="P319" s="393">
        <f>P12</f>
        <v>4258.8234000000011</v>
      </c>
      <c r="Q319" s="393">
        <f>Q12</f>
        <v>3300.5354027571047</v>
      </c>
      <c r="R319" s="393">
        <f>R12</f>
        <v>3563.5530942171026</v>
      </c>
      <c r="S319" s="393">
        <f>W28</f>
        <v>164354.55530340021</v>
      </c>
    </row>
    <row r="320" spans="14:19" hidden="1" x14ac:dyDescent="0.2">
      <c r="N320" s="393">
        <f>N12</f>
        <v>-51233.965714285703</v>
      </c>
      <c r="O320" s="393">
        <f>O12</f>
        <v>3922.6005000000005</v>
      </c>
      <c r="P320" s="393">
        <f>P12</f>
        <v>4258.8234000000011</v>
      </c>
      <c r="Q320" s="393">
        <f>Q12</f>
        <v>3300.5354027571047</v>
      </c>
      <c r="R320" s="393">
        <f>R12</f>
        <v>3563.5530942171026</v>
      </c>
      <c r="S320" s="393">
        <f>X28</f>
        <v>137496.42346717598</v>
      </c>
    </row>
    <row r="321" spans="14:19" hidden="1" x14ac:dyDescent="0.2">
      <c r="N321" s="393">
        <f>N12</f>
        <v>-51233.965714285703</v>
      </c>
      <c r="O321" s="393">
        <f>O12</f>
        <v>3922.6005000000005</v>
      </c>
      <c r="P321" s="393">
        <f>P12</f>
        <v>4258.8234000000011</v>
      </c>
      <c r="Q321" s="393">
        <f>Q12</f>
        <v>3300.5354027571047</v>
      </c>
      <c r="R321" s="393">
        <f>R12</f>
        <v>3563.5530942171026</v>
      </c>
      <c r="S321" s="393">
        <f>Y28</f>
        <v>115521.58832844706</v>
      </c>
    </row>
    <row r="322" spans="14:19" hidden="1" x14ac:dyDescent="0.2">
      <c r="N322" s="393">
        <f>N12</f>
        <v>-51233.965714285703</v>
      </c>
      <c r="O322" s="393">
        <f>O12</f>
        <v>3922.6005000000005</v>
      </c>
      <c r="P322" s="393">
        <f>P12</f>
        <v>4258.8234000000011</v>
      </c>
      <c r="Q322" s="393">
        <f>Q12</f>
        <v>3300.5354027571047</v>
      </c>
      <c r="R322" s="393">
        <f>R12</f>
        <v>3563.5530942171026</v>
      </c>
      <c r="S322" s="393">
        <f>Z28</f>
        <v>97209.225712839645</v>
      </c>
    </row>
    <row r="323" spans="14:19" hidden="1" x14ac:dyDescent="0.2">
      <c r="N323" s="393">
        <f>N12</f>
        <v>-51233.965714285703</v>
      </c>
      <c r="O323" s="393">
        <f>O12</f>
        <v>3922.6005000000005</v>
      </c>
      <c r="P323" s="393">
        <f>P12</f>
        <v>4258.8234000000011</v>
      </c>
      <c r="Q323" s="393">
        <f>Q12</f>
        <v>3300.5354027571047</v>
      </c>
      <c r="R323" s="393">
        <f>R12</f>
        <v>3563.5530942171026</v>
      </c>
      <c r="S323" s="393">
        <f>AA28</f>
        <v>81714.14965347953</v>
      </c>
    </row>
    <row r="324" spans="14:19" hidden="1" x14ac:dyDescent="0.2">
      <c r="N324" s="393">
        <f>N12</f>
        <v>-51233.965714285703</v>
      </c>
      <c r="O324" s="393">
        <f>O12</f>
        <v>3922.6005000000005</v>
      </c>
      <c r="P324" s="393">
        <f>P12</f>
        <v>4258.8234000000011</v>
      </c>
      <c r="Q324" s="393">
        <f>Q12</f>
        <v>3300.5354027571047</v>
      </c>
      <c r="R324" s="393">
        <f>R12</f>
        <v>3563.5530942171026</v>
      </c>
      <c r="S324" s="393">
        <f>AB28</f>
        <v>68432.655888313704</v>
      </c>
    </row>
    <row r="325" spans="14:19" hidden="1" x14ac:dyDescent="0.2">
      <c r="N325" s="393">
        <f>N12</f>
        <v>-51233.965714285703</v>
      </c>
      <c r="O325" s="393">
        <f>O12</f>
        <v>3922.6005000000005</v>
      </c>
      <c r="P325" s="393">
        <f>P12</f>
        <v>4258.8234000000011</v>
      </c>
      <c r="Q325" s="393">
        <f>Q12</f>
        <v>3300.5354027571047</v>
      </c>
      <c r="R325" s="393">
        <f>R12</f>
        <v>3563.5530942171026</v>
      </c>
      <c r="S325" s="393">
        <f>AC28</f>
        <v>56922.027958503328</v>
      </c>
    </row>
    <row r="326" spans="14:19" hidden="1" x14ac:dyDescent="0.2">
      <c r="N326" s="393">
        <f t="shared" ref="N326:R327" si="7">N12</f>
        <v>-51233.965714285703</v>
      </c>
      <c r="O326" s="393">
        <f t="shared" si="7"/>
        <v>3922.6005000000005</v>
      </c>
      <c r="P326" s="393">
        <f t="shared" si="7"/>
        <v>4258.8234000000011</v>
      </c>
      <c r="Q326" s="393">
        <f t="shared" si="7"/>
        <v>3300.5354027571047</v>
      </c>
      <c r="R326" s="393">
        <f t="shared" si="7"/>
        <v>3563.5530942171026</v>
      </c>
      <c r="S326" s="393">
        <f>AD28</f>
        <v>46850.228519919227</v>
      </c>
    </row>
    <row r="327" spans="14:19" hidden="1" x14ac:dyDescent="0.2">
      <c r="N327" s="393">
        <f t="shared" si="7"/>
        <v>-44829.720000000016</v>
      </c>
      <c r="O327" s="393">
        <f t="shared" si="7"/>
        <v>4833.2041875000004</v>
      </c>
      <c r="P327" s="393">
        <f t="shared" si="7"/>
        <v>5169.4270875000011</v>
      </c>
      <c r="Q327" s="393">
        <f t="shared" si="7"/>
        <v>4363.1141220374648</v>
      </c>
      <c r="R327" s="393">
        <f t="shared" si="7"/>
        <v>4626.1318134974626</v>
      </c>
      <c r="S327" s="393">
        <f>V29</f>
        <v>212497.16743592091</v>
      </c>
    </row>
    <row r="328" spans="14:19" hidden="1" x14ac:dyDescent="0.2">
      <c r="N328" s="393">
        <f>N13</f>
        <v>-44829.720000000016</v>
      </c>
      <c r="O328" s="393">
        <f>O13</f>
        <v>4833.2041875000004</v>
      </c>
      <c r="P328" s="393">
        <f>P13</f>
        <v>5169.4270875000011</v>
      </c>
      <c r="Q328" s="393">
        <f>Q13</f>
        <v>4363.1141220374648</v>
      </c>
      <c r="R328" s="393">
        <f>R13</f>
        <v>4626.1318134974626</v>
      </c>
      <c r="S328" s="393">
        <f>W29</f>
        <v>178924.50264064071</v>
      </c>
    </row>
    <row r="329" spans="14:19" hidden="1" x14ac:dyDescent="0.2">
      <c r="N329" s="393">
        <f>N13</f>
        <v>-44829.720000000016</v>
      </c>
      <c r="O329" s="393">
        <f>O13</f>
        <v>4833.2041875000004</v>
      </c>
      <c r="P329" s="393">
        <f>P13</f>
        <v>5169.4270875000011</v>
      </c>
      <c r="Q329" s="393">
        <f>Q13</f>
        <v>4363.1141220374648</v>
      </c>
      <c r="R329" s="393">
        <f>R13</f>
        <v>4626.1318134974626</v>
      </c>
      <c r="S329" s="393">
        <f>X29</f>
        <v>152066.37080441654</v>
      </c>
    </row>
    <row r="330" spans="14:19" hidden="1" x14ac:dyDescent="0.2">
      <c r="N330" s="393">
        <f>N13</f>
        <v>-44829.720000000016</v>
      </c>
      <c r="O330" s="393">
        <f>O13</f>
        <v>4833.2041875000004</v>
      </c>
      <c r="P330" s="393">
        <f>P13</f>
        <v>5169.4270875000011</v>
      </c>
      <c r="Q330" s="393">
        <f>Q13</f>
        <v>4363.1141220374648</v>
      </c>
      <c r="R330" s="393">
        <f>R13</f>
        <v>4626.1318134974626</v>
      </c>
      <c r="S330" s="393">
        <f>Y29</f>
        <v>130091.53566568762</v>
      </c>
    </row>
    <row r="331" spans="14:19" hidden="1" x14ac:dyDescent="0.2">
      <c r="N331" s="393">
        <f>N13</f>
        <v>-44829.720000000016</v>
      </c>
      <c r="O331" s="393">
        <f>O13</f>
        <v>4833.2041875000004</v>
      </c>
      <c r="P331" s="393">
        <f>P13</f>
        <v>5169.4270875000011</v>
      </c>
      <c r="Q331" s="393">
        <f>Q13</f>
        <v>4363.1141220374648</v>
      </c>
      <c r="R331" s="393">
        <f>R13</f>
        <v>4626.1318134974626</v>
      </c>
      <c r="S331" s="393">
        <f>Z29</f>
        <v>111779.17305008021</v>
      </c>
    </row>
    <row r="332" spans="14:19" hidden="1" x14ac:dyDescent="0.2">
      <c r="N332" s="393">
        <f>N13</f>
        <v>-44829.720000000016</v>
      </c>
      <c r="O332" s="393">
        <f>O13</f>
        <v>4833.2041875000004</v>
      </c>
      <c r="P332" s="393">
        <f>P13</f>
        <v>5169.4270875000011</v>
      </c>
      <c r="Q332" s="393">
        <f>Q13</f>
        <v>4363.1141220374648</v>
      </c>
      <c r="R332" s="393">
        <f>R13</f>
        <v>4626.1318134974626</v>
      </c>
      <c r="S332" s="393">
        <f>AA29</f>
        <v>96284.096990720092</v>
      </c>
    </row>
    <row r="333" spans="14:19" hidden="1" x14ac:dyDescent="0.2">
      <c r="N333" s="393">
        <f>N13</f>
        <v>-44829.720000000016</v>
      </c>
      <c r="O333" s="393">
        <f>O13</f>
        <v>4833.2041875000004</v>
      </c>
      <c r="P333" s="393">
        <f>P13</f>
        <v>5169.4270875000011</v>
      </c>
      <c r="Q333" s="393">
        <f>Q13</f>
        <v>4363.1141220374648</v>
      </c>
      <c r="R333" s="393">
        <f>R13</f>
        <v>4626.1318134974626</v>
      </c>
      <c r="S333" s="393">
        <f>AB29</f>
        <v>83002.603225554267</v>
      </c>
    </row>
    <row r="334" spans="14:19" hidden="1" x14ac:dyDescent="0.2">
      <c r="N334" s="393">
        <f>N13</f>
        <v>-44829.720000000016</v>
      </c>
      <c r="O334" s="393">
        <f>O13</f>
        <v>4833.2041875000004</v>
      </c>
      <c r="P334" s="393">
        <f>P13</f>
        <v>5169.4270875000011</v>
      </c>
      <c r="Q334" s="393">
        <f>Q13</f>
        <v>4363.1141220374648</v>
      </c>
      <c r="R334" s="393">
        <f>R13</f>
        <v>4626.1318134974626</v>
      </c>
      <c r="S334" s="393">
        <f>AC29</f>
        <v>71491.97529574389</v>
      </c>
    </row>
    <row r="335" spans="14:19" hidden="1" x14ac:dyDescent="0.2">
      <c r="N335" s="393">
        <f t="shared" ref="N335:R336" si="8">N13</f>
        <v>-44829.720000000016</v>
      </c>
      <c r="O335" s="393">
        <f t="shared" si="8"/>
        <v>4833.2041875000004</v>
      </c>
      <c r="P335" s="393">
        <f t="shared" si="8"/>
        <v>5169.4270875000011</v>
      </c>
      <c r="Q335" s="393">
        <f t="shared" si="8"/>
        <v>4363.1141220374648</v>
      </c>
      <c r="R335" s="393">
        <f t="shared" si="8"/>
        <v>4626.1318134974626</v>
      </c>
      <c r="S335" s="393">
        <f>AD29</f>
        <v>61420.175857159789</v>
      </c>
    </row>
    <row r="336" spans="14:19" hidden="1" x14ac:dyDescent="0.2">
      <c r="N336" s="393">
        <f t="shared" si="8"/>
        <v>-39848.640000000014</v>
      </c>
      <c r="O336" s="393">
        <f t="shared" si="8"/>
        <v>5541.4514999999992</v>
      </c>
      <c r="P336" s="393">
        <f t="shared" si="8"/>
        <v>5877.6743999999999</v>
      </c>
      <c r="Q336" s="393">
        <f t="shared" si="8"/>
        <v>5189.5642370333026</v>
      </c>
      <c r="R336" s="393">
        <f t="shared" si="8"/>
        <v>5452.5819284933004</v>
      </c>
      <c r="S336" s="393">
        <f>V30</f>
        <v>223829.34869821917</v>
      </c>
    </row>
    <row r="337" spans="14:19" hidden="1" x14ac:dyDescent="0.2">
      <c r="N337" s="393">
        <f>N14</f>
        <v>-39848.640000000014</v>
      </c>
      <c r="O337" s="393">
        <f>O14</f>
        <v>5541.4514999999992</v>
      </c>
      <c r="P337" s="393">
        <f>P14</f>
        <v>5877.6743999999999</v>
      </c>
      <c r="Q337" s="393">
        <f>Q14</f>
        <v>5189.5642370333026</v>
      </c>
      <c r="R337" s="393">
        <f>R14</f>
        <v>5452.5819284933004</v>
      </c>
      <c r="S337" s="393">
        <f>W30</f>
        <v>190256.68390293897</v>
      </c>
    </row>
    <row r="338" spans="14:19" hidden="1" x14ac:dyDescent="0.2">
      <c r="N338" s="393">
        <f>N14</f>
        <v>-39848.640000000014</v>
      </c>
      <c r="O338" s="393">
        <f>O14</f>
        <v>5541.4514999999992</v>
      </c>
      <c r="P338" s="393">
        <f>P14</f>
        <v>5877.6743999999999</v>
      </c>
      <c r="Q338" s="393">
        <f>Q14</f>
        <v>5189.5642370333026</v>
      </c>
      <c r="R338" s="393">
        <f>R14</f>
        <v>5452.5819284933004</v>
      </c>
      <c r="S338" s="393">
        <f>X30</f>
        <v>163398.55206671474</v>
      </c>
    </row>
    <row r="339" spans="14:19" hidden="1" x14ac:dyDescent="0.2">
      <c r="N339" s="393">
        <f>N14</f>
        <v>-39848.640000000014</v>
      </c>
      <c r="O339" s="393">
        <f>O14</f>
        <v>5541.4514999999992</v>
      </c>
      <c r="P339" s="393">
        <f>P14</f>
        <v>5877.6743999999999</v>
      </c>
      <c r="Q339" s="393">
        <f>Q14</f>
        <v>5189.5642370333026</v>
      </c>
      <c r="R339" s="393">
        <f>R14</f>
        <v>5452.5819284933004</v>
      </c>
      <c r="S339" s="393">
        <f>Y30</f>
        <v>141423.71692798584</v>
      </c>
    </row>
    <row r="340" spans="14:19" hidden="1" x14ac:dyDescent="0.2">
      <c r="N340" s="393">
        <f>N14</f>
        <v>-39848.640000000014</v>
      </c>
      <c r="O340" s="393">
        <f>O14</f>
        <v>5541.4514999999992</v>
      </c>
      <c r="P340" s="393">
        <f>P14</f>
        <v>5877.6743999999999</v>
      </c>
      <c r="Q340" s="393">
        <f>Q14</f>
        <v>5189.5642370333026</v>
      </c>
      <c r="R340" s="393">
        <f>R14</f>
        <v>5452.5819284933004</v>
      </c>
      <c r="S340" s="393">
        <f>Z30</f>
        <v>123111.3543123784</v>
      </c>
    </row>
    <row r="341" spans="14:19" hidden="1" x14ac:dyDescent="0.2">
      <c r="N341" s="393">
        <f>N14</f>
        <v>-39848.640000000014</v>
      </c>
      <c r="O341" s="393">
        <f>O14</f>
        <v>5541.4514999999992</v>
      </c>
      <c r="P341" s="393">
        <f>P14</f>
        <v>5877.6743999999999</v>
      </c>
      <c r="Q341" s="393">
        <f>Q14</f>
        <v>5189.5642370333026</v>
      </c>
      <c r="R341" s="393">
        <f>R14</f>
        <v>5452.5819284933004</v>
      </c>
      <c r="S341" s="393">
        <f>AA30</f>
        <v>107616.27825301829</v>
      </c>
    </row>
    <row r="342" spans="14:19" hidden="1" x14ac:dyDescent="0.2">
      <c r="N342" s="393">
        <f>N14</f>
        <v>-39848.640000000014</v>
      </c>
      <c r="O342" s="393">
        <f>O14</f>
        <v>5541.4514999999992</v>
      </c>
      <c r="P342" s="393">
        <f>P14</f>
        <v>5877.6743999999999</v>
      </c>
      <c r="Q342" s="393">
        <f>Q14</f>
        <v>5189.5642370333026</v>
      </c>
      <c r="R342" s="393">
        <f>R14</f>
        <v>5452.5819284933004</v>
      </c>
      <c r="S342" s="393">
        <f>AB30</f>
        <v>94334.784487852463</v>
      </c>
    </row>
    <row r="343" spans="14:19" hidden="1" x14ac:dyDescent="0.2">
      <c r="N343" s="393">
        <f>N14</f>
        <v>-39848.640000000014</v>
      </c>
      <c r="O343" s="393">
        <f>O14</f>
        <v>5541.4514999999992</v>
      </c>
      <c r="P343" s="393">
        <f>P14</f>
        <v>5877.6743999999999</v>
      </c>
      <c r="Q343" s="393">
        <f>Q14</f>
        <v>5189.5642370333026</v>
      </c>
      <c r="R343" s="393">
        <f>R14</f>
        <v>5452.5819284933004</v>
      </c>
      <c r="S343" s="393">
        <f>AC30</f>
        <v>82824.156558042087</v>
      </c>
    </row>
    <row r="344" spans="14:19" hidden="1" x14ac:dyDescent="0.2">
      <c r="N344" s="393">
        <f t="shared" ref="N344:R345" si="9">N14</f>
        <v>-39848.640000000014</v>
      </c>
      <c r="O344" s="393">
        <f t="shared" si="9"/>
        <v>5541.4514999999992</v>
      </c>
      <c r="P344" s="393">
        <f t="shared" si="9"/>
        <v>5877.6743999999999</v>
      </c>
      <c r="Q344" s="393">
        <f t="shared" si="9"/>
        <v>5189.5642370333026</v>
      </c>
      <c r="R344" s="393">
        <f t="shared" si="9"/>
        <v>5452.5819284933004</v>
      </c>
      <c r="S344" s="393">
        <f>AD30</f>
        <v>72752.357119457985</v>
      </c>
    </row>
    <row r="345" spans="14:19" hidden="1" x14ac:dyDescent="0.2">
      <c r="N345" s="393">
        <f t="shared" si="9"/>
        <v>-35863.776000000013</v>
      </c>
      <c r="O345" s="393">
        <f t="shared" si="9"/>
        <v>6108.0493500000002</v>
      </c>
      <c r="P345" s="393">
        <f t="shared" si="9"/>
        <v>6444.2722500000009</v>
      </c>
      <c r="Q345" s="393">
        <f t="shared" si="9"/>
        <v>5850.7243290299721</v>
      </c>
      <c r="R345" s="393">
        <f t="shared" si="9"/>
        <v>6113.7420204899699</v>
      </c>
      <c r="S345" s="393">
        <f>V31</f>
        <v>232895.09370805777</v>
      </c>
    </row>
    <row r="346" spans="14:19" hidden="1" x14ac:dyDescent="0.2">
      <c r="N346" s="393">
        <f>N15</f>
        <v>-35863.776000000013</v>
      </c>
      <c r="O346" s="393">
        <f>O15</f>
        <v>6108.0493500000002</v>
      </c>
      <c r="P346" s="393">
        <f>P15</f>
        <v>6444.2722500000009</v>
      </c>
      <c r="Q346" s="393">
        <f>Q15</f>
        <v>5850.7243290299721</v>
      </c>
      <c r="R346" s="393">
        <f>R15</f>
        <v>6113.7420204899699</v>
      </c>
      <c r="S346" s="393">
        <f>W31</f>
        <v>199322.42891277757</v>
      </c>
    </row>
    <row r="347" spans="14:19" hidden="1" x14ac:dyDescent="0.2">
      <c r="N347" s="393">
        <f>N15</f>
        <v>-35863.776000000013</v>
      </c>
      <c r="O347" s="393">
        <f>O15</f>
        <v>6108.0493500000002</v>
      </c>
      <c r="P347" s="393">
        <f>P15</f>
        <v>6444.2722500000009</v>
      </c>
      <c r="Q347" s="393">
        <f>Q15</f>
        <v>5850.7243290299721</v>
      </c>
      <c r="R347" s="393">
        <f>R15</f>
        <v>6113.7420204899699</v>
      </c>
      <c r="S347" s="393">
        <f>X31</f>
        <v>172464.29707655334</v>
      </c>
    </row>
    <row r="348" spans="14:19" hidden="1" x14ac:dyDescent="0.2">
      <c r="N348" s="393">
        <f>N15</f>
        <v>-35863.776000000013</v>
      </c>
      <c r="O348" s="393">
        <f>O15</f>
        <v>6108.0493500000002</v>
      </c>
      <c r="P348" s="393">
        <f>P15</f>
        <v>6444.2722500000009</v>
      </c>
      <c r="Q348" s="393">
        <f>Q15</f>
        <v>5850.7243290299721</v>
      </c>
      <c r="R348" s="393">
        <f>R15</f>
        <v>6113.7420204899699</v>
      </c>
      <c r="S348" s="393">
        <f>Y31</f>
        <v>150489.46193782444</v>
      </c>
    </row>
    <row r="349" spans="14:19" hidden="1" x14ac:dyDescent="0.2">
      <c r="N349" s="393">
        <f>N15</f>
        <v>-35863.776000000013</v>
      </c>
      <c r="O349" s="393">
        <f>O15</f>
        <v>6108.0493500000002</v>
      </c>
      <c r="P349" s="393">
        <f>P15</f>
        <v>6444.2722500000009</v>
      </c>
      <c r="Q349" s="393">
        <f>Q15</f>
        <v>5850.7243290299721</v>
      </c>
      <c r="R349" s="393">
        <f>R15</f>
        <v>6113.7420204899699</v>
      </c>
      <c r="S349" s="393">
        <f>Z31</f>
        <v>132177.09932221699</v>
      </c>
    </row>
    <row r="350" spans="14:19" hidden="1" x14ac:dyDescent="0.2">
      <c r="N350" s="393">
        <f>N15</f>
        <v>-35863.776000000013</v>
      </c>
      <c r="O350" s="393">
        <f>O15</f>
        <v>6108.0493500000002</v>
      </c>
      <c r="P350" s="393">
        <f>P15</f>
        <v>6444.2722500000009</v>
      </c>
      <c r="Q350" s="393">
        <f>Q15</f>
        <v>5850.7243290299721</v>
      </c>
      <c r="R350" s="393">
        <f>R15</f>
        <v>6113.7420204899699</v>
      </c>
      <c r="S350" s="393">
        <f>AA31</f>
        <v>116682.02326285689</v>
      </c>
    </row>
    <row r="351" spans="14:19" hidden="1" x14ac:dyDescent="0.2">
      <c r="N351" s="393">
        <f>N15</f>
        <v>-35863.776000000013</v>
      </c>
      <c r="O351" s="393">
        <f>O15</f>
        <v>6108.0493500000002</v>
      </c>
      <c r="P351" s="393">
        <f>P15</f>
        <v>6444.2722500000009</v>
      </c>
      <c r="Q351" s="393">
        <f>Q15</f>
        <v>5850.7243290299721</v>
      </c>
      <c r="R351" s="393">
        <f>R15</f>
        <v>6113.7420204899699</v>
      </c>
      <c r="S351" s="393">
        <f>AB31</f>
        <v>103400.52949769107</v>
      </c>
    </row>
    <row r="352" spans="14:19" hidden="1" x14ac:dyDescent="0.2">
      <c r="N352" s="393">
        <f>N15</f>
        <v>-35863.776000000013</v>
      </c>
      <c r="O352" s="393">
        <f>O15</f>
        <v>6108.0493500000002</v>
      </c>
      <c r="P352" s="393">
        <f>P15</f>
        <v>6444.2722500000009</v>
      </c>
      <c r="Q352" s="393">
        <f>Q15</f>
        <v>5850.7243290299721</v>
      </c>
      <c r="R352" s="393">
        <f>R15</f>
        <v>6113.7420204899699</v>
      </c>
      <c r="S352" s="393">
        <f>AC31</f>
        <v>91889.90156788069</v>
      </c>
    </row>
    <row r="353" spans="14:19" hidden="1" x14ac:dyDescent="0.2">
      <c r="N353" s="393">
        <f t="shared" ref="N353:R354" si="10">N15</f>
        <v>-35863.776000000013</v>
      </c>
      <c r="O353" s="393">
        <f t="shared" si="10"/>
        <v>6108.0493500000002</v>
      </c>
      <c r="P353" s="393">
        <f t="shared" si="10"/>
        <v>6444.2722500000009</v>
      </c>
      <c r="Q353" s="393">
        <f t="shared" si="10"/>
        <v>5850.7243290299721</v>
      </c>
      <c r="R353" s="393">
        <f t="shared" si="10"/>
        <v>6113.7420204899699</v>
      </c>
      <c r="S353" s="393">
        <f>AD31</f>
        <v>81818.102129296589</v>
      </c>
    </row>
    <row r="354" spans="14:19" hidden="1" x14ac:dyDescent="0.2">
      <c r="N354" s="393">
        <f t="shared" si="10"/>
        <v>-32603.432727272739</v>
      </c>
      <c r="O354" s="393">
        <f t="shared" si="10"/>
        <v>6571.6294090909087</v>
      </c>
      <c r="P354" s="393">
        <f t="shared" si="10"/>
        <v>6907.8523090909093</v>
      </c>
      <c r="Q354" s="393">
        <f t="shared" si="10"/>
        <v>6391.6734952090646</v>
      </c>
      <c r="R354" s="393">
        <f t="shared" si="10"/>
        <v>6654.6911866690625</v>
      </c>
      <c r="S354" s="393">
        <f>V32</f>
        <v>240312.52144338016</v>
      </c>
    </row>
    <row r="355" spans="14:19" hidden="1" x14ac:dyDescent="0.2">
      <c r="N355" s="393">
        <f>N16</f>
        <v>-32603.432727272739</v>
      </c>
      <c r="O355" s="393">
        <f>O16</f>
        <v>6571.6294090909087</v>
      </c>
      <c r="P355" s="393">
        <f>P16</f>
        <v>6907.8523090909093</v>
      </c>
      <c r="Q355" s="393">
        <f>Q16</f>
        <v>6391.6734952090646</v>
      </c>
      <c r="R355" s="393">
        <f>R16</f>
        <v>6654.6911866690625</v>
      </c>
      <c r="S355" s="393">
        <f>W32</f>
        <v>206739.85664809996</v>
      </c>
    </row>
    <row r="356" spans="14:19" hidden="1" x14ac:dyDescent="0.2">
      <c r="N356" s="393">
        <f>N16</f>
        <v>-32603.432727272739</v>
      </c>
      <c r="O356" s="393">
        <f>O16</f>
        <v>6571.6294090909087</v>
      </c>
      <c r="P356" s="393">
        <f>P16</f>
        <v>6907.8523090909093</v>
      </c>
      <c r="Q356" s="393">
        <f>Q16</f>
        <v>6391.6734952090646</v>
      </c>
      <c r="R356" s="393">
        <f>R16</f>
        <v>6654.6911866690625</v>
      </c>
      <c r="S356" s="393">
        <f>X32</f>
        <v>179881.72481187579</v>
      </c>
    </row>
    <row r="357" spans="14:19" hidden="1" x14ac:dyDescent="0.2">
      <c r="N357" s="393">
        <f>N16</f>
        <v>-32603.432727272739</v>
      </c>
      <c r="O357" s="393">
        <f>O16</f>
        <v>6571.6294090909087</v>
      </c>
      <c r="P357" s="393">
        <f>P16</f>
        <v>6907.8523090909093</v>
      </c>
      <c r="Q357" s="393">
        <f>Q16</f>
        <v>6391.6734952090646</v>
      </c>
      <c r="R357" s="393">
        <f>R16</f>
        <v>6654.6911866690625</v>
      </c>
      <c r="S357" s="393">
        <f>Y32</f>
        <v>157906.88967314688</v>
      </c>
    </row>
    <row r="358" spans="14:19" hidden="1" x14ac:dyDescent="0.2">
      <c r="N358" s="393">
        <f>N16</f>
        <v>-32603.432727272739</v>
      </c>
      <c r="O358" s="393">
        <f>O16</f>
        <v>6571.6294090909087</v>
      </c>
      <c r="P358" s="393">
        <f>P16</f>
        <v>6907.8523090909093</v>
      </c>
      <c r="Q358" s="393">
        <f>Q16</f>
        <v>6391.6734952090646</v>
      </c>
      <c r="R358" s="393">
        <f>R16</f>
        <v>6654.6911866690625</v>
      </c>
      <c r="S358" s="393">
        <f>Z32</f>
        <v>139594.52705753944</v>
      </c>
    </row>
    <row r="359" spans="14:19" hidden="1" x14ac:dyDescent="0.2">
      <c r="N359" s="393">
        <f>N16</f>
        <v>-32603.432727272739</v>
      </c>
      <c r="O359" s="393">
        <f>O16</f>
        <v>6571.6294090909087</v>
      </c>
      <c r="P359" s="393">
        <f>P16</f>
        <v>6907.8523090909093</v>
      </c>
      <c r="Q359" s="393">
        <f>Q16</f>
        <v>6391.6734952090646</v>
      </c>
      <c r="R359" s="393">
        <f>R16</f>
        <v>6654.6911866690625</v>
      </c>
      <c r="S359" s="393">
        <f>AA32</f>
        <v>124099.45099817934</v>
      </c>
    </row>
    <row r="360" spans="14:19" hidden="1" x14ac:dyDescent="0.2">
      <c r="N360" s="393">
        <f>N16</f>
        <v>-32603.432727272739</v>
      </c>
      <c r="O360" s="393">
        <f>O16</f>
        <v>6571.6294090909087</v>
      </c>
      <c r="P360" s="393">
        <f>P16</f>
        <v>6907.8523090909093</v>
      </c>
      <c r="Q360" s="393">
        <f>Q16</f>
        <v>6391.6734952090646</v>
      </c>
      <c r="R360" s="393">
        <f>R16</f>
        <v>6654.6911866690625</v>
      </c>
      <c r="S360" s="393">
        <f>AB32</f>
        <v>110817.95723301351</v>
      </c>
    </row>
    <row r="361" spans="14:19" hidden="1" x14ac:dyDescent="0.2">
      <c r="N361" s="393">
        <f>N16</f>
        <v>-32603.432727272739</v>
      </c>
      <c r="O361" s="393">
        <f>O16</f>
        <v>6571.6294090909087</v>
      </c>
      <c r="P361" s="393">
        <f>P16</f>
        <v>6907.8523090909093</v>
      </c>
      <c r="Q361" s="393">
        <f>Q16</f>
        <v>6391.6734952090646</v>
      </c>
      <c r="R361" s="393">
        <f>R16</f>
        <v>6654.6911866690625</v>
      </c>
      <c r="S361" s="393">
        <f>AC32</f>
        <v>99307.329303203136</v>
      </c>
    </row>
    <row r="362" spans="14:19" hidden="1" x14ac:dyDescent="0.2">
      <c r="N362" s="393">
        <f t="shared" ref="N362:R363" si="11">N16</f>
        <v>-32603.432727272739</v>
      </c>
      <c r="O362" s="393">
        <f t="shared" si="11"/>
        <v>6571.6294090909087</v>
      </c>
      <c r="P362" s="393">
        <f t="shared" si="11"/>
        <v>6907.8523090909093</v>
      </c>
      <c r="Q362" s="393">
        <f t="shared" si="11"/>
        <v>6391.6734952090646</v>
      </c>
      <c r="R362" s="393">
        <f t="shared" si="11"/>
        <v>6654.6911866690625</v>
      </c>
      <c r="S362" s="393">
        <f>AD32</f>
        <v>89235.529864619035</v>
      </c>
    </row>
    <row r="363" spans="14:19" hidden="1" x14ac:dyDescent="0.2">
      <c r="N363" s="393">
        <f t="shared" si="11"/>
        <v>-29886.480000000003</v>
      </c>
      <c r="O363" s="393">
        <f t="shared" si="11"/>
        <v>6957.9461250000004</v>
      </c>
      <c r="P363" s="393">
        <f t="shared" si="11"/>
        <v>7294.1690250000011</v>
      </c>
      <c r="Q363" s="393">
        <f t="shared" si="11"/>
        <v>6842.4644670249763</v>
      </c>
      <c r="R363" s="393">
        <f t="shared" si="11"/>
        <v>7105.4821584849742</v>
      </c>
      <c r="S363" s="393">
        <f>V33</f>
        <v>246493.71122281559</v>
      </c>
    </row>
    <row r="364" spans="14:19" hidden="1" x14ac:dyDescent="0.2">
      <c r="N364" s="393">
        <f>N17</f>
        <v>-29886.480000000003</v>
      </c>
      <c r="O364" s="393">
        <f>O17</f>
        <v>6957.9461250000004</v>
      </c>
      <c r="P364" s="393">
        <f>P17</f>
        <v>7294.1690250000011</v>
      </c>
      <c r="Q364" s="393">
        <f>Q17</f>
        <v>6842.4644670249763</v>
      </c>
      <c r="R364" s="393">
        <f>R17</f>
        <v>7105.4821584849742</v>
      </c>
      <c r="S364" s="393">
        <f>W33</f>
        <v>212921.04642753539</v>
      </c>
    </row>
    <row r="365" spans="14:19" hidden="1" x14ac:dyDescent="0.2">
      <c r="N365" s="393">
        <f>N17</f>
        <v>-29886.480000000003</v>
      </c>
      <c r="O365" s="393">
        <f>O17</f>
        <v>6957.9461250000004</v>
      </c>
      <c r="P365" s="393">
        <f>P17</f>
        <v>7294.1690250000011</v>
      </c>
      <c r="Q365" s="393">
        <f>Q17</f>
        <v>6842.4644670249763</v>
      </c>
      <c r="R365" s="393">
        <f>R17</f>
        <v>7105.4821584849742</v>
      </c>
      <c r="S365" s="393">
        <f>X33</f>
        <v>186062.91459131116</v>
      </c>
    </row>
    <row r="366" spans="14:19" hidden="1" x14ac:dyDescent="0.2">
      <c r="N366" s="393">
        <f>N17</f>
        <v>-29886.480000000003</v>
      </c>
      <c r="O366" s="393">
        <f>O17</f>
        <v>6957.9461250000004</v>
      </c>
      <c r="P366" s="393">
        <f>P17</f>
        <v>7294.1690250000011</v>
      </c>
      <c r="Q366" s="393">
        <f>Q17</f>
        <v>6842.4644670249763</v>
      </c>
      <c r="R366" s="393">
        <f>R17</f>
        <v>7105.4821584849742</v>
      </c>
      <c r="S366" s="393">
        <f>Y33</f>
        <v>164088.07945258226</v>
      </c>
    </row>
    <row r="367" spans="14:19" hidden="1" x14ac:dyDescent="0.2">
      <c r="N367" s="393">
        <f>N17</f>
        <v>-29886.480000000003</v>
      </c>
      <c r="O367" s="393">
        <f>O17</f>
        <v>6957.9461250000004</v>
      </c>
      <c r="P367" s="393">
        <f>P17</f>
        <v>7294.1690250000011</v>
      </c>
      <c r="Q367" s="393">
        <f>Q17</f>
        <v>6842.4644670249763</v>
      </c>
      <c r="R367" s="393">
        <f>R17</f>
        <v>7105.4821584849742</v>
      </c>
      <c r="S367" s="393">
        <f>Z33</f>
        <v>145775.71683697484</v>
      </c>
    </row>
    <row r="368" spans="14:19" hidden="1" x14ac:dyDescent="0.2">
      <c r="N368" s="393">
        <f>N17</f>
        <v>-29886.480000000003</v>
      </c>
      <c r="O368" s="393">
        <f>O17</f>
        <v>6957.9461250000004</v>
      </c>
      <c r="P368" s="393">
        <f>P17</f>
        <v>7294.1690250000011</v>
      </c>
      <c r="Q368" s="393">
        <f>Q17</f>
        <v>6842.4644670249763</v>
      </c>
      <c r="R368" s="393">
        <f>R17</f>
        <v>7105.4821584849742</v>
      </c>
      <c r="S368" s="393">
        <f>AA33</f>
        <v>130280.64077761472</v>
      </c>
    </row>
    <row r="369" spans="14:19" hidden="1" x14ac:dyDescent="0.2">
      <c r="N369" s="393">
        <f>N17</f>
        <v>-29886.480000000003</v>
      </c>
      <c r="O369" s="393">
        <f>O17</f>
        <v>6957.9461250000004</v>
      </c>
      <c r="P369" s="393">
        <f>P17</f>
        <v>7294.1690250000011</v>
      </c>
      <c r="Q369" s="393">
        <f>Q17</f>
        <v>6842.4644670249763</v>
      </c>
      <c r="R369" s="393">
        <f>R17</f>
        <v>7105.4821584849742</v>
      </c>
      <c r="S369" s="393">
        <f>AB33</f>
        <v>116999.1470124489</v>
      </c>
    </row>
    <row r="370" spans="14:19" hidden="1" x14ac:dyDescent="0.2">
      <c r="N370" s="393">
        <f>N17</f>
        <v>-29886.480000000003</v>
      </c>
      <c r="O370" s="393">
        <f>O17</f>
        <v>6957.9461250000004</v>
      </c>
      <c r="P370" s="393">
        <f>P17</f>
        <v>7294.1690250000011</v>
      </c>
      <c r="Q370" s="393">
        <f>Q17</f>
        <v>6842.4644670249763</v>
      </c>
      <c r="R370" s="393">
        <f>R17</f>
        <v>7105.4821584849742</v>
      </c>
      <c r="S370" s="393">
        <f>AC33</f>
        <v>105488.51908263852</v>
      </c>
    </row>
    <row r="371" spans="14:19" hidden="1" x14ac:dyDescent="0.2">
      <c r="N371" s="393">
        <f t="shared" ref="N371:R372" si="12">N17</f>
        <v>-29886.480000000003</v>
      </c>
      <c r="O371" s="393">
        <f t="shared" si="12"/>
        <v>6957.9461250000004</v>
      </c>
      <c r="P371" s="393">
        <f t="shared" si="12"/>
        <v>7294.1690250000011</v>
      </c>
      <c r="Q371" s="393">
        <f t="shared" si="12"/>
        <v>6842.4644670249763</v>
      </c>
      <c r="R371" s="393">
        <f t="shared" si="12"/>
        <v>7105.4821584849742</v>
      </c>
      <c r="S371" s="393">
        <f>AD33</f>
        <v>95416.719644054421</v>
      </c>
    </row>
    <row r="372" spans="14:19" hidden="1" x14ac:dyDescent="0.2">
      <c r="N372" s="393">
        <f t="shared" si="12"/>
        <v>-27587.520000000004</v>
      </c>
      <c r="O372" s="393">
        <f t="shared" si="12"/>
        <v>7284.8294999999998</v>
      </c>
      <c r="P372" s="393">
        <f t="shared" si="12"/>
        <v>7621.0524000000005</v>
      </c>
      <c r="Q372" s="393">
        <f t="shared" si="12"/>
        <v>7223.90298163844</v>
      </c>
      <c r="R372" s="393">
        <f t="shared" si="12"/>
        <v>7486.9206730984379</v>
      </c>
      <c r="S372" s="393">
        <f>V34</f>
        <v>251723.94872849173</v>
      </c>
    </row>
    <row r="373" spans="14:19" hidden="1" x14ac:dyDescent="0.2">
      <c r="N373" s="393">
        <f>N18</f>
        <v>-27587.520000000004</v>
      </c>
      <c r="O373" s="393">
        <f>O18</f>
        <v>7284.8294999999998</v>
      </c>
      <c r="P373" s="393">
        <f>P18</f>
        <v>7621.0524000000005</v>
      </c>
      <c r="Q373" s="393">
        <f>Q18</f>
        <v>7223.90298163844</v>
      </c>
      <c r="R373" s="393">
        <f>R18</f>
        <v>7486.9206730984379</v>
      </c>
      <c r="S373" s="393">
        <f>W34</f>
        <v>218151.28393321153</v>
      </c>
    </row>
    <row r="374" spans="14:19" hidden="1" x14ac:dyDescent="0.2">
      <c r="N374" s="393">
        <f>N18</f>
        <v>-27587.520000000004</v>
      </c>
      <c r="O374" s="393">
        <f>O18</f>
        <v>7284.8294999999998</v>
      </c>
      <c r="P374" s="393">
        <f>P18</f>
        <v>7621.0524000000005</v>
      </c>
      <c r="Q374" s="393">
        <f>Q18</f>
        <v>7223.90298163844</v>
      </c>
      <c r="R374" s="393">
        <f>R18</f>
        <v>7486.9206730984379</v>
      </c>
      <c r="S374" s="393">
        <f>X34</f>
        <v>191293.15209698727</v>
      </c>
    </row>
    <row r="375" spans="14:19" hidden="1" x14ac:dyDescent="0.2">
      <c r="N375" s="393">
        <f>N18</f>
        <v>-27587.520000000004</v>
      </c>
      <c r="O375" s="393">
        <f>O18</f>
        <v>7284.8294999999998</v>
      </c>
      <c r="P375" s="393">
        <f>P18</f>
        <v>7621.0524000000005</v>
      </c>
      <c r="Q375" s="393">
        <f>Q18</f>
        <v>7223.90298163844</v>
      </c>
      <c r="R375" s="393">
        <f>R18</f>
        <v>7486.9206730984379</v>
      </c>
      <c r="S375" s="393">
        <f>Y34</f>
        <v>169318.31695825837</v>
      </c>
    </row>
    <row r="376" spans="14:19" hidden="1" x14ac:dyDescent="0.2">
      <c r="N376" s="393">
        <f>N18</f>
        <v>-27587.520000000004</v>
      </c>
      <c r="O376" s="393">
        <f>O18</f>
        <v>7284.8294999999998</v>
      </c>
      <c r="P376" s="393">
        <f>P18</f>
        <v>7621.0524000000005</v>
      </c>
      <c r="Q376" s="393">
        <f>Q18</f>
        <v>7223.90298163844</v>
      </c>
      <c r="R376" s="393">
        <f>R18</f>
        <v>7486.9206730984379</v>
      </c>
      <c r="S376" s="393">
        <f>Z34</f>
        <v>151005.95434265095</v>
      </c>
    </row>
    <row r="377" spans="14:19" hidden="1" x14ac:dyDescent="0.2">
      <c r="N377" s="393">
        <f>N18</f>
        <v>-27587.520000000004</v>
      </c>
      <c r="O377" s="393">
        <f>O18</f>
        <v>7284.8294999999998</v>
      </c>
      <c r="P377" s="393">
        <f>P18</f>
        <v>7621.0524000000005</v>
      </c>
      <c r="Q377" s="393">
        <f>Q18</f>
        <v>7223.90298163844</v>
      </c>
      <c r="R377" s="393">
        <f>R18</f>
        <v>7486.9206730984379</v>
      </c>
      <c r="S377" s="393">
        <f>AA34</f>
        <v>135510.87828329083</v>
      </c>
    </row>
    <row r="378" spans="14:19" hidden="1" x14ac:dyDescent="0.2">
      <c r="N378" s="393">
        <f>N18</f>
        <v>-27587.520000000004</v>
      </c>
      <c r="O378" s="393">
        <f>O18</f>
        <v>7284.8294999999998</v>
      </c>
      <c r="P378" s="393">
        <f>P18</f>
        <v>7621.0524000000005</v>
      </c>
      <c r="Q378" s="393">
        <f>Q18</f>
        <v>7223.90298163844</v>
      </c>
      <c r="R378" s="393">
        <f>R18</f>
        <v>7486.9206730984379</v>
      </c>
      <c r="S378" s="393">
        <f>AB34</f>
        <v>122229.38451812501</v>
      </c>
    </row>
    <row r="379" spans="14:19" hidden="1" x14ac:dyDescent="0.2">
      <c r="N379" s="393">
        <f>N18</f>
        <v>-27587.520000000004</v>
      </c>
      <c r="O379" s="393">
        <f>O18</f>
        <v>7284.8294999999998</v>
      </c>
      <c r="P379" s="393">
        <f>P18</f>
        <v>7621.0524000000005</v>
      </c>
      <c r="Q379" s="393">
        <f>Q18</f>
        <v>7223.90298163844</v>
      </c>
      <c r="R379" s="393">
        <f>R18</f>
        <v>7486.9206730984379</v>
      </c>
      <c r="S379" s="393">
        <f>AC34</f>
        <v>110718.75658831463</v>
      </c>
    </row>
    <row r="380" spans="14:19" hidden="1" x14ac:dyDescent="0.2">
      <c r="N380" s="393">
        <f t="shared" ref="N380:R381" si="13">N18</f>
        <v>-27587.520000000004</v>
      </c>
      <c r="O380" s="393">
        <f t="shared" si="13"/>
        <v>7284.8294999999998</v>
      </c>
      <c r="P380" s="393">
        <f t="shared" si="13"/>
        <v>7621.0524000000005</v>
      </c>
      <c r="Q380" s="393">
        <f t="shared" si="13"/>
        <v>7223.90298163844</v>
      </c>
      <c r="R380" s="393">
        <f t="shared" si="13"/>
        <v>7486.9206730984379</v>
      </c>
      <c r="S380" s="393">
        <f>AD34</f>
        <v>100646.95714973053</v>
      </c>
    </row>
    <row r="381" spans="14:19" hidden="1" x14ac:dyDescent="0.2">
      <c r="N381" s="393">
        <f t="shared" si="13"/>
        <v>-25616.982857142852</v>
      </c>
      <c r="O381" s="393">
        <f t="shared" si="13"/>
        <v>7565.0152500000004</v>
      </c>
      <c r="P381" s="393">
        <f t="shared" si="13"/>
        <v>7901.238150000001</v>
      </c>
      <c r="Q381" s="393">
        <f t="shared" si="13"/>
        <v>7550.8502798785521</v>
      </c>
      <c r="R381" s="393">
        <f t="shared" si="13"/>
        <v>7813.86797133855</v>
      </c>
      <c r="S381" s="393">
        <f>V35</f>
        <v>256207.00944764263</v>
      </c>
    </row>
    <row r="382" spans="14:19" hidden="1" x14ac:dyDescent="0.2">
      <c r="N382" s="393">
        <f>N19</f>
        <v>-25616.982857142852</v>
      </c>
      <c r="O382" s="393">
        <f>O19</f>
        <v>7565.0152500000004</v>
      </c>
      <c r="P382" s="393">
        <f>P19</f>
        <v>7901.238150000001</v>
      </c>
      <c r="Q382" s="393">
        <f>Q19</f>
        <v>7550.8502798785521</v>
      </c>
      <c r="R382" s="393">
        <f>R19</f>
        <v>7813.86797133855</v>
      </c>
      <c r="S382" s="393">
        <f>W35</f>
        <v>222634.34465236243</v>
      </c>
    </row>
    <row r="383" spans="14:19" hidden="1" x14ac:dyDescent="0.2">
      <c r="N383" s="393">
        <f>N19</f>
        <v>-25616.982857142852</v>
      </c>
      <c r="O383" s="393">
        <f>O19</f>
        <v>7565.0152500000004</v>
      </c>
      <c r="P383" s="393">
        <f>P19</f>
        <v>7901.238150000001</v>
      </c>
      <c r="Q383" s="393">
        <f>Q19</f>
        <v>7550.8502798785521</v>
      </c>
      <c r="R383" s="393">
        <f>R19</f>
        <v>7813.86797133855</v>
      </c>
      <c r="S383" s="393">
        <f>X35</f>
        <v>195776.2128161382</v>
      </c>
    </row>
    <row r="384" spans="14:19" hidden="1" x14ac:dyDescent="0.2">
      <c r="N384" s="393">
        <f>N19</f>
        <v>-25616.982857142852</v>
      </c>
      <c r="O384" s="393">
        <f>O19</f>
        <v>7565.0152500000004</v>
      </c>
      <c r="P384" s="393">
        <f>P19</f>
        <v>7901.238150000001</v>
      </c>
      <c r="Q384" s="393">
        <f>Q19</f>
        <v>7550.8502798785521</v>
      </c>
      <c r="R384" s="393">
        <f>R19</f>
        <v>7813.86797133855</v>
      </c>
      <c r="S384" s="393">
        <f>Y35</f>
        <v>173801.3776774093</v>
      </c>
    </row>
    <row r="385" spans="14:19" hidden="1" x14ac:dyDescent="0.2">
      <c r="N385" s="393">
        <f>N19</f>
        <v>-25616.982857142852</v>
      </c>
      <c r="O385" s="393">
        <f>O19</f>
        <v>7565.0152500000004</v>
      </c>
      <c r="P385" s="393">
        <f>P19</f>
        <v>7901.238150000001</v>
      </c>
      <c r="Q385" s="393">
        <f>Q19</f>
        <v>7550.8502798785521</v>
      </c>
      <c r="R385" s="393">
        <f>R19</f>
        <v>7813.86797133855</v>
      </c>
      <c r="S385" s="393">
        <f>Z35</f>
        <v>155489.01506180188</v>
      </c>
    </row>
    <row r="386" spans="14:19" hidden="1" x14ac:dyDescent="0.2">
      <c r="N386" s="393">
        <f>N19</f>
        <v>-25616.982857142852</v>
      </c>
      <c r="O386" s="393">
        <f>O19</f>
        <v>7565.0152500000004</v>
      </c>
      <c r="P386" s="393">
        <f>P19</f>
        <v>7901.238150000001</v>
      </c>
      <c r="Q386" s="393">
        <f>Q19</f>
        <v>7550.8502798785521</v>
      </c>
      <c r="R386" s="393">
        <f>R19</f>
        <v>7813.86797133855</v>
      </c>
      <c r="S386" s="393">
        <f>AA35</f>
        <v>139993.93900244177</v>
      </c>
    </row>
    <row r="387" spans="14:19" hidden="1" x14ac:dyDescent="0.2">
      <c r="N387" s="393">
        <f>N19</f>
        <v>-25616.982857142852</v>
      </c>
      <c r="O387" s="393">
        <f>O19</f>
        <v>7565.0152500000004</v>
      </c>
      <c r="P387" s="393">
        <f>P19</f>
        <v>7901.238150000001</v>
      </c>
      <c r="Q387" s="393">
        <f>Q19</f>
        <v>7550.8502798785521</v>
      </c>
      <c r="R387" s="393">
        <f>R19</f>
        <v>7813.86797133855</v>
      </c>
      <c r="S387" s="393">
        <f>AB35</f>
        <v>126712.44523727594</v>
      </c>
    </row>
    <row r="388" spans="14:19" hidden="1" x14ac:dyDescent="0.2">
      <c r="N388" s="393">
        <f>N19</f>
        <v>-25616.982857142852</v>
      </c>
      <c r="O388" s="393">
        <f>O19</f>
        <v>7565.0152500000004</v>
      </c>
      <c r="P388" s="393">
        <f>P19</f>
        <v>7901.238150000001</v>
      </c>
      <c r="Q388" s="393">
        <f>Q19</f>
        <v>7550.8502798785521</v>
      </c>
      <c r="R388" s="393">
        <f>R19</f>
        <v>7813.86797133855</v>
      </c>
      <c r="S388" s="393">
        <f>AC35</f>
        <v>115201.81730746556</v>
      </c>
    </row>
    <row r="389" spans="14:19" hidden="1" x14ac:dyDescent="0.2">
      <c r="N389" s="393">
        <f t="shared" ref="N389:R390" si="14">N19</f>
        <v>-25616.982857142852</v>
      </c>
      <c r="O389" s="393">
        <f t="shared" si="14"/>
        <v>7565.0152500000004</v>
      </c>
      <c r="P389" s="393">
        <f t="shared" si="14"/>
        <v>7901.238150000001</v>
      </c>
      <c r="Q389" s="393">
        <f t="shared" si="14"/>
        <v>7550.8502798785521</v>
      </c>
      <c r="R389" s="393">
        <f t="shared" si="14"/>
        <v>7813.86797133855</v>
      </c>
      <c r="S389" s="393">
        <f>AD35</f>
        <v>105130.01786888146</v>
      </c>
    </row>
    <row r="390" spans="14:19" hidden="1" x14ac:dyDescent="0.2">
      <c r="N390" s="393">
        <f t="shared" si="14"/>
        <v>-23909.184000000008</v>
      </c>
      <c r="O390" s="393">
        <f t="shared" si="14"/>
        <v>7807.8429000000006</v>
      </c>
      <c r="P390" s="393">
        <f t="shared" si="14"/>
        <v>8144.0658000000012</v>
      </c>
      <c r="Q390" s="393">
        <f t="shared" si="14"/>
        <v>7834.2046050199815</v>
      </c>
      <c r="R390" s="393">
        <f t="shared" si="14"/>
        <v>8097.2222964799794</v>
      </c>
      <c r="S390" s="393">
        <f>V36</f>
        <v>260092.32873757344</v>
      </c>
    </row>
    <row r="391" spans="14:19" hidden="1" x14ac:dyDescent="0.2">
      <c r="N391" s="393">
        <f>N20</f>
        <v>-23909.184000000008</v>
      </c>
      <c r="O391" s="393">
        <f>O20</f>
        <v>7807.8429000000006</v>
      </c>
      <c r="P391" s="393">
        <f>P20</f>
        <v>8144.0658000000012</v>
      </c>
      <c r="Q391" s="393">
        <f>Q20</f>
        <v>7834.2046050199815</v>
      </c>
      <c r="R391" s="393">
        <f>R20</f>
        <v>8097.2222964799794</v>
      </c>
      <c r="S391" s="393">
        <f>W36</f>
        <v>226519.66394229323</v>
      </c>
    </row>
    <row r="392" spans="14:19" hidden="1" x14ac:dyDescent="0.2">
      <c r="N392" s="393">
        <f>N20</f>
        <v>-23909.184000000008</v>
      </c>
      <c r="O392" s="393">
        <f>O20</f>
        <v>7807.8429000000006</v>
      </c>
      <c r="P392" s="393">
        <f>P20</f>
        <v>8144.0658000000012</v>
      </c>
      <c r="Q392" s="393">
        <f>Q20</f>
        <v>7834.2046050199815</v>
      </c>
      <c r="R392" s="393">
        <f>R20</f>
        <v>8097.2222964799794</v>
      </c>
      <c r="S392" s="393">
        <f>X36</f>
        <v>199661.53210606903</v>
      </c>
    </row>
    <row r="393" spans="14:19" hidden="1" x14ac:dyDescent="0.2">
      <c r="N393" s="393">
        <f>N20</f>
        <v>-23909.184000000008</v>
      </c>
      <c r="O393" s="393">
        <f>O20</f>
        <v>7807.8429000000006</v>
      </c>
      <c r="P393" s="393">
        <f>P20</f>
        <v>8144.0658000000012</v>
      </c>
      <c r="Q393" s="393">
        <f>Q20</f>
        <v>7834.2046050199815</v>
      </c>
      <c r="R393" s="393">
        <f>R20</f>
        <v>8097.2222964799794</v>
      </c>
      <c r="S393" s="393">
        <f>Y36</f>
        <v>177686.69696734013</v>
      </c>
    </row>
    <row r="394" spans="14:19" hidden="1" x14ac:dyDescent="0.2">
      <c r="N394" s="393">
        <f>N20</f>
        <v>-23909.184000000008</v>
      </c>
      <c r="O394" s="393">
        <f>O20</f>
        <v>7807.8429000000006</v>
      </c>
      <c r="P394" s="393">
        <f>P20</f>
        <v>8144.0658000000012</v>
      </c>
      <c r="Q394" s="393">
        <f>Q20</f>
        <v>7834.2046050199815</v>
      </c>
      <c r="R394" s="393">
        <f>R20</f>
        <v>8097.2222964799794</v>
      </c>
      <c r="S394" s="393">
        <f>Z36</f>
        <v>159374.33435173272</v>
      </c>
    </row>
    <row r="395" spans="14:19" hidden="1" x14ac:dyDescent="0.2">
      <c r="N395" s="393">
        <f>N20</f>
        <v>-23909.184000000008</v>
      </c>
      <c r="O395" s="393">
        <f>O20</f>
        <v>7807.8429000000006</v>
      </c>
      <c r="P395" s="393">
        <f>P20</f>
        <v>8144.0658000000012</v>
      </c>
      <c r="Q395" s="393">
        <f>Q20</f>
        <v>7834.2046050199815</v>
      </c>
      <c r="R395" s="393">
        <f>R20</f>
        <v>8097.2222964799794</v>
      </c>
      <c r="S395" s="393">
        <f>AA36</f>
        <v>143879.2582923726</v>
      </c>
    </row>
    <row r="396" spans="14:19" hidden="1" x14ac:dyDescent="0.2">
      <c r="N396" s="393">
        <f>N20</f>
        <v>-23909.184000000008</v>
      </c>
      <c r="O396" s="393">
        <f>O20</f>
        <v>7807.8429000000006</v>
      </c>
      <c r="P396" s="393">
        <f>P20</f>
        <v>8144.0658000000012</v>
      </c>
      <c r="Q396" s="393">
        <f>Q20</f>
        <v>7834.2046050199815</v>
      </c>
      <c r="R396" s="393">
        <f>R20</f>
        <v>8097.2222964799794</v>
      </c>
      <c r="S396" s="393">
        <f>AB36</f>
        <v>130597.76452720677</v>
      </c>
    </row>
    <row r="397" spans="14:19" hidden="1" x14ac:dyDescent="0.2">
      <c r="N397" s="393">
        <f>N20</f>
        <v>-23909.184000000008</v>
      </c>
      <c r="O397" s="393">
        <f>O20</f>
        <v>7807.8429000000006</v>
      </c>
      <c r="P397" s="393">
        <f>P20</f>
        <v>8144.0658000000012</v>
      </c>
      <c r="Q397" s="393">
        <f>Q20</f>
        <v>7834.2046050199815</v>
      </c>
      <c r="R397" s="393">
        <f>R20</f>
        <v>8097.2222964799794</v>
      </c>
      <c r="S397" s="393">
        <f>AC36</f>
        <v>119087.1365973964</v>
      </c>
    </row>
    <row r="398" spans="14:19" hidden="1" x14ac:dyDescent="0.2">
      <c r="N398" s="393">
        <f>N20</f>
        <v>-23909.184000000008</v>
      </c>
      <c r="O398" s="393">
        <f>O20</f>
        <v>7807.8429000000006</v>
      </c>
      <c r="P398" s="393">
        <f>P20</f>
        <v>8144.0658000000012</v>
      </c>
      <c r="Q398" s="393">
        <f>Q20</f>
        <v>7834.2046050199815</v>
      </c>
      <c r="R398" s="393">
        <f>R20</f>
        <v>8097.2222964799794</v>
      </c>
      <c r="S398" s="393">
        <f>AD36</f>
        <v>109015.3371588123</v>
      </c>
    </row>
  </sheetData>
  <conditionalFormatting sqref="A10:A20">
    <cfRule type="expression" dxfId="14" priority="16">
      <formula>ISNUMBER(SEARCH("OVERPRICE",A10))</formula>
    </cfRule>
    <cfRule type="expression" dxfId="13" priority="17">
      <formula>ISNUMBER(SEARCH("UPSIDE",A10))</formula>
    </cfRule>
    <cfRule type="expression" dxfId="12" priority="18">
      <formula>ISNUMBER(SEARCH("BASE",A10))</formula>
    </cfRule>
  </conditionalFormatting>
  <conditionalFormatting sqref="C41:I51">
    <cfRule type="expression" dxfId="11" priority="13">
      <formula>AND(ISNUMBER(C41),C41&gt;=$C$6)</formula>
    </cfRule>
    <cfRule type="expression" dxfId="10" priority="14">
      <formula>AND(ISNUMBER(C41),C41&gt;=$C$6-0.02,C41&lt;$C$6)</formula>
    </cfRule>
    <cfRule type="expression" dxfId="9" priority="15">
      <formula>AND(ISNUMBER(C41),C41&lt;$C$6-0.02)</formula>
    </cfRule>
  </conditionalFormatting>
  <conditionalFormatting sqref="C26:K36">
    <cfRule type="expression" dxfId="8" priority="10">
      <formula>AND(ISNUMBER(C26),C26&gt;=$C$5)</formula>
    </cfRule>
    <cfRule type="expression" dxfId="7" priority="11">
      <formula>AND(ISNUMBER(C26),C26&gt;=$C$5-0.03,C26&lt;$C$5)</formula>
    </cfRule>
    <cfRule type="expression" dxfId="6" priority="12">
      <formula>AND(ISNUMBER(C26),C26&lt;$C$5-0.03)</formula>
    </cfRule>
  </conditionalFormatting>
  <conditionalFormatting sqref="J10:K20">
    <cfRule type="expression" dxfId="5" priority="4">
      <formula>AND(ISNUMBER(J10),J10&gt;=$C$6)</formula>
    </cfRule>
    <cfRule type="expression" dxfId="4" priority="5">
      <formula>AND(ISNUMBER(J10),J10&gt;=$C$6-0.02,J10&lt;$C$6)</formula>
    </cfRule>
    <cfRule type="expression" dxfId="3" priority="6">
      <formula>AND(ISNUMBER(J10),J10&lt;$C$6-0.02)</formula>
    </cfRule>
  </conditionalFormatting>
  <conditionalFormatting sqref="L10:L20">
    <cfRule type="expression" dxfId="2" priority="1">
      <formula>AND(ISNUMBER(L10),L10&gt;=$C$5)</formula>
    </cfRule>
    <cfRule type="expression" dxfId="1" priority="2">
      <formula>AND(ISNUMBER(L10),L10&gt;=$C$5-0.03,L10&lt;$C$5)</formula>
    </cfRule>
    <cfRule type="expression" dxfId="0" priority="3">
      <formula>AND(ISNUMBER(L10),L10&lt;$C$5-0.03)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1277-A3A6-CF4D-A105-81B6B3140771}">
  <dimension ref="B2:AA201"/>
  <sheetViews>
    <sheetView workbookViewId="0"/>
  </sheetViews>
  <sheetFormatPr baseColWidth="10" defaultRowHeight="16" x14ac:dyDescent="0.2"/>
  <cols>
    <col min="1" max="1" width="3.5" customWidth="1"/>
    <col min="2" max="2" width="36.6640625" customWidth="1"/>
    <col min="3" max="14" width="16.6640625" customWidth="1"/>
  </cols>
  <sheetData>
    <row r="2" spans="2:27" ht="21" x14ac:dyDescent="0.25">
      <c r="B2" s="27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</row>
    <row r="3" spans="2:27" x14ac:dyDescent="0.2">
      <c r="B3" s="2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22" customHeight="1" x14ac:dyDescent="0.2">
      <c r="B4" s="98"/>
      <c r="C4" s="97" t="s">
        <v>28</v>
      </c>
      <c r="D4" s="97" t="s">
        <v>29</v>
      </c>
      <c r="E4" s="97" t="s">
        <v>13</v>
      </c>
      <c r="F4" s="97" t="s">
        <v>14</v>
      </c>
      <c r="G4" s="97" t="s">
        <v>15</v>
      </c>
      <c r="H4" s="97" t="s">
        <v>16</v>
      </c>
      <c r="I4" s="97" t="s">
        <v>17</v>
      </c>
      <c r="J4" s="97" t="s">
        <v>18</v>
      </c>
      <c r="K4" s="97" t="s">
        <v>19</v>
      </c>
      <c r="L4" s="97" t="s">
        <v>20</v>
      </c>
      <c r="M4" s="97" t="s">
        <v>21</v>
      </c>
      <c r="N4" s="97" t="s">
        <v>22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22" customHeight="1" x14ac:dyDescent="0.2">
      <c r="B5" s="61" t="s">
        <v>30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8" customHeight="1" x14ac:dyDescent="0.2">
      <c r="B6" s="30" t="s">
        <v>31</v>
      </c>
      <c r="C6" s="100">
        <f>Assumptions!C24</f>
        <v>0</v>
      </c>
      <c r="D6" s="100">
        <f>$C$6</f>
        <v>0</v>
      </c>
      <c r="E6" s="100">
        <f>D6*(1+E7)</f>
        <v>0</v>
      </c>
      <c r="F6" s="100">
        <f t="shared" ref="F6:N6" si="0">E6*(1+F7)</f>
        <v>0</v>
      </c>
      <c r="G6" s="100">
        <f t="shared" si="0"/>
        <v>0</v>
      </c>
      <c r="H6" s="100">
        <f t="shared" si="0"/>
        <v>0</v>
      </c>
      <c r="I6" s="100">
        <f t="shared" si="0"/>
        <v>0</v>
      </c>
      <c r="J6" s="100">
        <f t="shared" si="0"/>
        <v>0</v>
      </c>
      <c r="K6" s="100">
        <f t="shared" si="0"/>
        <v>0</v>
      </c>
      <c r="L6" s="100">
        <f t="shared" si="0"/>
        <v>0</v>
      </c>
      <c r="M6" s="100">
        <f t="shared" si="0"/>
        <v>0</v>
      </c>
      <c r="N6" s="100">
        <f t="shared" si="0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8" customHeight="1" x14ac:dyDescent="0.2">
      <c r="B7" s="33" t="s">
        <v>32</v>
      </c>
      <c r="C7" s="33"/>
      <c r="D7" s="33"/>
      <c r="E7" s="101">
        <f>Assumptions!C72</f>
        <v>0.03</v>
      </c>
      <c r="F7" s="101">
        <f>Assumptions!C73</f>
        <v>0.03</v>
      </c>
      <c r="G7" s="101">
        <f>Assumptions!C74</f>
        <v>2.5000000000000001E-2</v>
      </c>
      <c r="H7" s="101">
        <f>Assumptions!C75</f>
        <v>2.5000000000000001E-2</v>
      </c>
      <c r="I7" s="101">
        <f>Assumptions!C76</f>
        <v>2.5000000000000001E-2</v>
      </c>
      <c r="J7" s="101">
        <f>Assumptions!C77</f>
        <v>0.02</v>
      </c>
      <c r="K7" s="101">
        <f>Assumptions!C78</f>
        <v>0.02</v>
      </c>
      <c r="L7" s="101">
        <f>Assumptions!C79</f>
        <v>0.02</v>
      </c>
      <c r="M7" s="101">
        <f>Assumptions!C80</f>
        <v>0.02</v>
      </c>
      <c r="N7" s="101">
        <f>Assumptions!C81</f>
        <v>0.02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8" customHeight="1" x14ac:dyDescent="0.2">
      <c r="B8" s="30" t="s">
        <v>33</v>
      </c>
      <c r="C8" s="100">
        <f>Assumptions!C23*Assumptions!C40*12</f>
        <v>18000</v>
      </c>
      <c r="D8" s="100">
        <f>$C$8</f>
        <v>18000</v>
      </c>
      <c r="E8" s="100">
        <f>D8*(1+E7)</f>
        <v>18540</v>
      </c>
      <c r="F8" s="100">
        <f t="shared" ref="F8:N8" si="1">E8*(1+F7)</f>
        <v>19096.2</v>
      </c>
      <c r="G8" s="100">
        <f t="shared" si="1"/>
        <v>19573.605</v>
      </c>
      <c r="H8" s="100">
        <f t="shared" si="1"/>
        <v>20062.945124999998</v>
      </c>
      <c r="I8" s="100">
        <f t="shared" si="1"/>
        <v>20564.518753124998</v>
      </c>
      <c r="J8" s="100">
        <f t="shared" si="1"/>
        <v>20975.809128187499</v>
      </c>
      <c r="K8" s="100">
        <f t="shared" si="1"/>
        <v>21395.32531075125</v>
      </c>
      <c r="L8" s="100">
        <f t="shared" si="1"/>
        <v>21823.231816966276</v>
      </c>
      <c r="M8" s="100">
        <f t="shared" si="1"/>
        <v>22259.696453305602</v>
      </c>
      <c r="N8" s="100">
        <f t="shared" si="1"/>
        <v>22704.890382371716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8" customHeight="1" x14ac:dyDescent="0.2">
      <c r="B9" s="10" t="s">
        <v>34</v>
      </c>
      <c r="C9" s="10"/>
      <c r="D9" s="108">
        <f>D6+D8</f>
        <v>18000</v>
      </c>
      <c r="E9" s="108">
        <f t="shared" ref="E9:N9" si="2">E6+E8</f>
        <v>18540</v>
      </c>
      <c r="F9" s="108">
        <f t="shared" si="2"/>
        <v>19096.2</v>
      </c>
      <c r="G9" s="108">
        <f t="shared" si="2"/>
        <v>19573.605</v>
      </c>
      <c r="H9" s="108">
        <f t="shared" si="2"/>
        <v>20062.945124999998</v>
      </c>
      <c r="I9" s="108">
        <f t="shared" si="2"/>
        <v>20564.518753124998</v>
      </c>
      <c r="J9" s="108">
        <f t="shared" si="2"/>
        <v>20975.809128187499</v>
      </c>
      <c r="K9" s="108">
        <f t="shared" si="2"/>
        <v>21395.32531075125</v>
      </c>
      <c r="L9" s="108">
        <f t="shared" si="2"/>
        <v>21823.231816966276</v>
      </c>
      <c r="M9" s="108">
        <f t="shared" si="2"/>
        <v>22259.696453305602</v>
      </c>
      <c r="N9" s="108">
        <f t="shared" si="2"/>
        <v>22704.890382371716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8" customHeight="1" x14ac:dyDescent="0.2">
      <c r="B10" s="30" t="s">
        <v>35</v>
      </c>
      <c r="C10" s="103">
        <f>Assumptions!C39</f>
        <v>7.0000000000000007E-2</v>
      </c>
      <c r="D10" s="104">
        <f>-D9*$C$10</f>
        <v>-1260.0000000000002</v>
      </c>
      <c r="E10" s="104">
        <f t="shared" ref="E10:N10" si="3">-E9*$C$10</f>
        <v>-1297.8000000000002</v>
      </c>
      <c r="F10" s="104">
        <f t="shared" si="3"/>
        <v>-1336.7340000000002</v>
      </c>
      <c r="G10" s="104">
        <f t="shared" si="3"/>
        <v>-1370.1523500000001</v>
      </c>
      <c r="H10" s="104">
        <f t="shared" si="3"/>
        <v>-1404.40615875</v>
      </c>
      <c r="I10" s="104">
        <f t="shared" si="3"/>
        <v>-1439.51631271875</v>
      </c>
      <c r="J10" s="104">
        <f t="shared" si="3"/>
        <v>-1468.306638973125</v>
      </c>
      <c r="K10" s="104">
        <f t="shared" si="3"/>
        <v>-1497.6727717525876</v>
      </c>
      <c r="L10" s="104">
        <f t="shared" si="3"/>
        <v>-1527.6262271876394</v>
      </c>
      <c r="M10" s="104">
        <f t="shared" si="3"/>
        <v>-1558.1787517313924</v>
      </c>
      <c r="N10" s="104">
        <f t="shared" si="3"/>
        <v>-1589.3423267660203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8" customHeight="1" x14ac:dyDescent="0.2">
      <c r="B11" s="10" t="s">
        <v>36</v>
      </c>
      <c r="C11" s="10"/>
      <c r="D11" s="108">
        <f>D9+D10</f>
        <v>16740</v>
      </c>
      <c r="E11" s="108">
        <f t="shared" ref="E11:N11" si="4">E9+E10</f>
        <v>17242.2</v>
      </c>
      <c r="F11" s="108">
        <f t="shared" si="4"/>
        <v>17759.466</v>
      </c>
      <c r="G11" s="108">
        <f t="shared" si="4"/>
        <v>18203.452649999999</v>
      </c>
      <c r="H11" s="108">
        <f t="shared" si="4"/>
        <v>18658.538966249998</v>
      </c>
      <c r="I11" s="108">
        <f t="shared" si="4"/>
        <v>19125.002440406246</v>
      </c>
      <c r="J11" s="108">
        <f t="shared" si="4"/>
        <v>19507.502489214374</v>
      </c>
      <c r="K11" s="108">
        <f t="shared" si="4"/>
        <v>19897.652538998664</v>
      </c>
      <c r="L11" s="108">
        <f t="shared" si="4"/>
        <v>20295.605589778635</v>
      </c>
      <c r="M11" s="108">
        <f t="shared" si="4"/>
        <v>20701.517701574208</v>
      </c>
      <c r="N11" s="108">
        <f t="shared" si="4"/>
        <v>21115.548055605694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8" customHeight="1" x14ac:dyDescent="0.2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8" customHeight="1" x14ac:dyDescent="0.2">
      <c r="B13" s="61" t="s">
        <v>4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8" customHeight="1" x14ac:dyDescent="0.2">
      <c r="B14" s="30" t="s">
        <v>232</v>
      </c>
      <c r="C14" s="50">
        <f>Assumptions!C43</f>
        <v>0.35</v>
      </c>
      <c r="D14" s="100">
        <f>D11*$C$14</f>
        <v>5859</v>
      </c>
      <c r="E14" s="100">
        <f>D14*(1+Assumptions!C44)</f>
        <v>6034.77</v>
      </c>
      <c r="F14" s="100">
        <f>E14*(1+Assumptions!C44)</f>
        <v>6215.8131000000003</v>
      </c>
      <c r="G14" s="100">
        <f>F14*(1+Assumptions!C44)</f>
        <v>6402.2874930000007</v>
      </c>
      <c r="H14" s="100">
        <f>G14*(1+Assumptions!C44)</f>
        <v>6594.356117790001</v>
      </c>
      <c r="I14" s="100">
        <f>H14*(1+Assumptions!C44)</f>
        <v>6792.1868013237008</v>
      </c>
      <c r="J14" s="100">
        <f>I14*(1+Assumptions!C44)</f>
        <v>6995.9524053634123</v>
      </c>
      <c r="K14" s="100">
        <f>J14*(1+Assumptions!C44)</f>
        <v>7205.8309775243151</v>
      </c>
      <c r="L14" s="100">
        <f>K14*(1+Assumptions!C44)</f>
        <v>7422.005906850045</v>
      </c>
      <c r="M14" s="100">
        <f>L14*(1+Assumptions!C44)</f>
        <v>7644.6660840555469</v>
      </c>
      <c r="N14" s="100">
        <f>M14*(1+Assumptions!C44)</f>
        <v>7874.0060665772135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8" customHeight="1" x14ac:dyDescent="0.2">
      <c r="B15" s="33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8" customHeight="1" x14ac:dyDescent="0.2">
      <c r="B16" s="30"/>
      <c r="C16" s="103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8" customHeight="1" x14ac:dyDescent="0.2">
      <c r="B17" s="33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8" customHeight="1" x14ac:dyDescent="0.2">
      <c r="B18" s="3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8" customHeight="1" x14ac:dyDescent="0.2">
      <c r="B19" s="111" t="s">
        <v>37</v>
      </c>
      <c r="C19" s="112"/>
      <c r="D19" s="113">
        <f t="shared" ref="D19:N19" si="5">D14</f>
        <v>5859</v>
      </c>
      <c r="E19" s="113">
        <f t="shared" si="5"/>
        <v>6034.77</v>
      </c>
      <c r="F19" s="113">
        <f t="shared" si="5"/>
        <v>6215.8131000000003</v>
      </c>
      <c r="G19" s="113">
        <f t="shared" si="5"/>
        <v>6402.2874930000007</v>
      </c>
      <c r="H19" s="113">
        <f t="shared" si="5"/>
        <v>6594.356117790001</v>
      </c>
      <c r="I19" s="113">
        <f t="shared" si="5"/>
        <v>6792.1868013237008</v>
      </c>
      <c r="J19" s="113">
        <f t="shared" si="5"/>
        <v>6995.9524053634123</v>
      </c>
      <c r="K19" s="113">
        <f t="shared" si="5"/>
        <v>7205.8309775243151</v>
      </c>
      <c r="L19" s="113">
        <f t="shared" si="5"/>
        <v>7422.005906850045</v>
      </c>
      <c r="M19" s="113">
        <f t="shared" si="5"/>
        <v>7644.6660840555469</v>
      </c>
      <c r="N19" s="113">
        <f t="shared" si="5"/>
        <v>7874.0060665772135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8" customHeight="1" x14ac:dyDescent="0.2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8" customHeight="1" x14ac:dyDescent="0.2">
      <c r="B21" s="10" t="s">
        <v>38</v>
      </c>
      <c r="C21" s="10"/>
      <c r="D21" s="108">
        <f>D11-D19</f>
        <v>10881</v>
      </c>
      <c r="E21" s="108">
        <f t="shared" ref="E21:N21" si="6">E11-E19</f>
        <v>11207.43</v>
      </c>
      <c r="F21" s="108">
        <f t="shared" si="6"/>
        <v>11543.652900000001</v>
      </c>
      <c r="G21" s="108">
        <f t="shared" si="6"/>
        <v>11801.165156999999</v>
      </c>
      <c r="H21" s="108">
        <f t="shared" si="6"/>
        <v>12064.182848459997</v>
      </c>
      <c r="I21" s="108">
        <f t="shared" si="6"/>
        <v>12332.815639082546</v>
      </c>
      <c r="J21" s="108">
        <f t="shared" si="6"/>
        <v>12511.550083850962</v>
      </c>
      <c r="K21" s="108">
        <f t="shared" si="6"/>
        <v>12691.821561474349</v>
      </c>
      <c r="L21" s="108">
        <f t="shared" si="6"/>
        <v>12873.59968292859</v>
      </c>
      <c r="M21" s="108">
        <f t="shared" si="6"/>
        <v>13056.851617518661</v>
      </c>
      <c r="N21" s="108">
        <f t="shared" si="6"/>
        <v>13241.541989028479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8" customHeight="1" x14ac:dyDescent="0.2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8" customHeight="1" x14ac:dyDescent="0.2">
      <c r="B23" s="61" t="s">
        <v>39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8" customHeight="1" x14ac:dyDescent="0.2">
      <c r="B24" s="30" t="s">
        <v>40</v>
      </c>
      <c r="C24" s="30"/>
      <c r="D24" s="100">
        <f>Assumptions!C53*Assumptions!C54</f>
        <v>568750</v>
      </c>
      <c r="E24" s="100">
        <f>IF(1*12&lt;=Assumptions!C55,Assumptions!C53*Assumptions!C54,IF((1-1)*12&gt;=Assumptions!C55,-CUMIPMT(Assumptions!C54/12,Assumptions!C56*12,Assumptions!C53,(1-1)*12-Assumptions!C55+1,1*12-Assumptions!C55,0),Assumptions!C53*Assumptions!C54*(Assumptions!C55-(1-1)*12)/12+(-CUMIPMT(Assumptions!C54/12,Assumptions!C56*12,Assumptions!C53,1,1*12-Assumptions!C55,0))))</f>
        <v>568750</v>
      </c>
      <c r="F24" s="100">
        <f>IF(2*12&lt;=Assumptions!C55,Assumptions!C53*Assumptions!C54,IF((2-1)*12&gt;=Assumptions!C55,-CUMIPMT(Assumptions!C54/12,Assumptions!C56*12,Assumptions!C53,(2-1)*12-Assumptions!C55+1,2*12-Assumptions!C55,0),Assumptions!C53*Assumptions!C54*(Assumptions!C55-(2-1)*12)/12+(-CUMIPMT(Assumptions!C54/12,Assumptions!C56*12,Assumptions!C53,1,2*12-Assumptions!C55,0))))</f>
        <v>568750</v>
      </c>
      <c r="G24" s="100">
        <f>IF(3*12&lt;=Assumptions!C55,Assumptions!C53*Assumptions!C54,IF((3-1)*12&gt;=Assumptions!C55,-CUMIPMT(Assumptions!C54/12,Assumptions!C56*12,Assumptions!C53,(3-1)*12-Assumptions!C55+1,3*12-Assumptions!C55,0),Assumptions!C53*Assumptions!C54*(Assumptions!C55-(3-1)*12)/12+(-CUMIPMT(Assumptions!C54/12,Assumptions!C56*12,Assumptions!C53,1,3*12-Assumptions!C55,0))))</f>
        <v>565870.44613361324</v>
      </c>
      <c r="H24" s="100">
        <f>IF(4*12&lt;=Assumptions!C55,Assumptions!C53*Assumptions!C54,IF((4-1)*12&gt;=Assumptions!C55,-CUMIPMT(Assumptions!C54/12,Assumptions!C56*12,Assumptions!C53,(4-1)*12-Assumptions!C55+1,4*12-Assumptions!C55,0),Assumptions!C53*Assumptions!C54*(Assumptions!C55-(4-1)*12)/12+(-CUMIPMT(Assumptions!C54/12,Assumptions!C56*12,Assumptions!C53,1,4*12-Assumptions!C55,0))))</f>
        <v>559320.53347353032</v>
      </c>
      <c r="I24" s="100">
        <f>IF(5*12&lt;=Assumptions!C55,Assumptions!C53*Assumptions!C54,IF((5-1)*12&gt;=Assumptions!C55,-CUMIPMT(Assumptions!C54/12,Assumptions!C56*12,Assumptions!C53,(5-1)*12-Assumptions!C55+1,5*12-Assumptions!C55,0),Assumptions!C53*Assumptions!C54*(Assumptions!C55-(5-1)*12)/12+(-CUMIPMT(Assumptions!C54/12,Assumptions!C56*12,Assumptions!C53,1,5*12-Assumptions!C55,0))))</f>
        <v>552331.9610321467</v>
      </c>
      <c r="J24" s="100">
        <f>IF(6*12&lt;=Assumptions!C55,Assumptions!C53*Assumptions!C54,IF((6-1)*12&gt;=Assumptions!C55,-CUMIPMT(Assumptions!C54/12,Assumptions!C56*12,Assumptions!C53,(6-1)*12-Assumptions!C55+1,6*12-Assumptions!C55,0),Assumptions!C53*Assumptions!C54*(Assumptions!C55-(6-1)*12)/12+(-CUMIPMT(Assumptions!C54/12,Assumptions!C56*12,Assumptions!C53,1,6*12-Assumptions!C55,0))))</f>
        <v>544875.35095150978</v>
      </c>
      <c r="K24" s="100">
        <f>IF(7*12&lt;=Assumptions!C55,Assumptions!C53*Assumptions!C54,IF((7-1)*12&gt;=Assumptions!C55,-CUMIPMT(Assumptions!C54/12,Assumptions!C56*12,Assumptions!C53,(7-1)*12-Assumptions!C55+1,7*12-Assumptions!C55,0),Assumptions!C53*Assumptions!C54*(Assumptions!C55-(7-1)*12)/12+(-CUMIPMT(Assumptions!C54/12,Assumptions!C56*12,Assumptions!C53,1,7*12-Assumptions!C55,0))))</f>
        <v>536919.3578841117</v>
      </c>
      <c r="L24" s="100">
        <f>IF(8*12&lt;=Assumptions!C55,Assumptions!C53*Assumptions!C54,IF((8-1)*12&gt;=Assumptions!C55,-CUMIPMT(Assumptions!C54/12,Assumptions!C56*12,Assumptions!C53,(8-1)*12-Assumptions!C55+1,8*12-Assumptions!C55,0),Assumptions!C53*Assumptions!C54*(Assumptions!C55-(8-1)*12)/12+(-CUMIPMT(Assumptions!C54/12,Assumptions!C56*12,Assumptions!C53,1,8*12-Assumptions!C55,0))))</f>
        <v>528430.53722647054</v>
      </c>
      <c r="M24" s="100">
        <f>IF(9*12&lt;=Assumptions!C55,Assumptions!C53*Assumptions!C54,IF((9-1)*12&gt;=Assumptions!C55,-CUMIPMT(Assumptions!C54/12,Assumptions!C56*12,Assumptions!C53,(9-1)*12-Assumptions!C55+1,9*12-Assumptions!C55,0),Assumptions!C53*Assumptions!C54*(Assumptions!C55-(9-1)*12)/12+(-CUMIPMT(Assumptions!C54/12,Assumptions!C56*12,Assumptions!C53,1,9*12-Assumptions!C55,0))))</f>
        <v>519373.20452806971</v>
      </c>
      <c r="N24" s="100">
        <f>IF(10*12&lt;=Assumptions!C55,Assumptions!C53*Assumptions!C54,IF((10-1)*12&gt;=Assumptions!C55,-CUMIPMT(Assumptions!C54/12,Assumptions!C56*12,Assumptions!C53,(10-1)*12-Assumptions!C55+1,10*12-Assumptions!C55,0),Assumptions!C53*Assumptions!C54*(Assumptions!C55-(10-1)*12)/12+(-CUMIPMT(Assumptions!C54/12,Assumptions!C56*12,Assumptions!C53,1,10*12-Assumptions!C55,0))))</f>
        <v>509709.28548465378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8" customHeight="1" x14ac:dyDescent="0.2">
      <c r="B25" s="33" t="s">
        <v>41</v>
      </c>
      <c r="C25" s="33"/>
      <c r="D25" s="105">
        <f>0</f>
        <v>0</v>
      </c>
      <c r="E25" s="105">
        <f>IF(1*12&lt;=Assumptions!C55,0,IF((1-1)*12&gt;=Assumptions!C55,-CUMPRINC(Assumptions!C54/12,Assumptions!C56*12,Assumptions!C53,(1-1)*12-Assumptions!C55+1,1*12-Assumptions!C55,0),-CUMPRINC(Assumptions!C54/12,Assumptions!C56*12,Assumptions!C53,1,1*12-Assumptions!C55,0)))</f>
        <v>0</v>
      </c>
      <c r="F25" s="105">
        <f>IF(2*12&lt;=Assumptions!C55,0,IF((2-1)*12&gt;=Assumptions!C55,-CUMPRINC(Assumptions!C54/12,Assumptions!C56*12,Assumptions!C53,(2-1)*12-Assumptions!C55+1,2*12-Assumptions!C55,0),-CUMPRINC(Assumptions!C54/12,Assumptions!C56*12,Assumptions!C53,1,2*12-Assumptions!C55,0)))</f>
        <v>0</v>
      </c>
      <c r="G25" s="105">
        <f>IF(3*12&lt;=Assumptions!C55,0,IF((3-1)*12&gt;=Assumptions!C55,-CUMPRINC(Assumptions!C54/12,Assumptions!C56*12,Assumptions!C53,(3-1)*12-Assumptions!C55+1,3*12-Assumptions!C55,0),-CUMPRINC(Assumptions!C54/12,Assumptions!C56*12,Assumptions!C53,1,3*12-Assumptions!C55,0)))</f>
        <v>97800.978533998714</v>
      </c>
      <c r="H25" s="105">
        <f>IF(4*12&lt;=Assumptions!C55,0,IF((4-1)*12&gt;=Assumptions!C55,-CUMPRINC(Assumptions!C54/12,Assumptions!C56*12,Assumptions!C53,(4-1)*12-Assumptions!C55+1,4*12-Assumptions!C55,0),-CUMPRINC(Assumptions!C54/12,Assumptions!C56*12,Assumptions!C53,1,4*12-Assumptions!C55,0)))</f>
        <v>104350.89119408165</v>
      </c>
      <c r="I25" s="105">
        <f>IF(5*12&lt;=Assumptions!C55,0,IF((5-1)*12&gt;=Assumptions!C55,-CUMPRINC(Assumptions!C54/12,Assumptions!C56*12,Assumptions!C53,(5-1)*12-Assumptions!C55+1,5*12-Assumptions!C55,0),-CUMPRINC(Assumptions!C54/12,Assumptions!C56*12,Assumptions!C53,1,5*12-Assumptions!C55,0)))</f>
        <v>111339.46363546523</v>
      </c>
      <c r="J25" s="105">
        <f>IF(6*12&lt;=Assumptions!C55,0,IF((6-1)*12&gt;=Assumptions!C55,-CUMPRINC(Assumptions!C54/12,Assumptions!C56*12,Assumptions!C53,(6-1)*12-Assumptions!C55+1,6*12-Assumptions!C55,0),-CUMPRINC(Assumptions!C54/12,Assumptions!C56*12,Assumptions!C53,1,6*12-Assumptions!C55,0)))</f>
        <v>118796.07371610223</v>
      </c>
      <c r="K25" s="105">
        <f>IF(7*12&lt;=Assumptions!C55,0,IF((7-1)*12&gt;=Assumptions!C55,-CUMPRINC(Assumptions!C54/12,Assumptions!C56*12,Assumptions!C53,(7-1)*12-Assumptions!C55+1,7*12-Assumptions!C55,0),-CUMPRINC(Assumptions!C54/12,Assumptions!C56*12,Assumptions!C53,1,7*12-Assumptions!C55,0)))</f>
        <v>126752.06678350028</v>
      </c>
      <c r="L25" s="105">
        <f>IF(8*12&lt;=Assumptions!C55,0,IF((8-1)*12&gt;=Assumptions!C55,-CUMPRINC(Assumptions!C54/12,Assumptions!C56*12,Assumptions!C53,(8-1)*12-Assumptions!C55+1,8*12-Assumptions!C55,0),-CUMPRINC(Assumptions!C54/12,Assumptions!C56*12,Assumptions!C53,1,8*12-Assumptions!C55,0)))</f>
        <v>135240.88744114144</v>
      </c>
      <c r="M25" s="105">
        <f>IF(9*12&lt;=Assumptions!C55,0,IF((9-1)*12&gt;=Assumptions!C55,-CUMPRINC(Assumptions!C54/12,Assumptions!C56*12,Assumptions!C53,(9-1)*12-Assumptions!C55+1,9*12-Assumptions!C55,0),-CUMPRINC(Assumptions!C54/12,Assumptions!C56*12,Assumptions!C53,1,9*12-Assumptions!C55,0)))</f>
        <v>144298.22013954222</v>
      </c>
      <c r="N25" s="105">
        <f>IF(10*12&lt;=Assumptions!C55,0,IF((10-1)*12&gt;=Assumptions!C55,-CUMPRINC(Assumptions!C54/12,Assumptions!C56*12,Assumptions!C53,(10-1)*12-Assumptions!C55+1,10*12-Assumptions!C55,0),-CUMPRINC(Assumptions!C54/12,Assumptions!C56*12,Assumptions!C53,1,10*12-Assumptions!C55,0)))</f>
        <v>153962.13918295817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8" customHeight="1" x14ac:dyDescent="0.2">
      <c r="B26" s="111" t="s">
        <v>42</v>
      </c>
      <c r="C26" s="111"/>
      <c r="D26" s="113">
        <f t="shared" ref="D26:N26" si="7">D24+D25</f>
        <v>568750</v>
      </c>
      <c r="E26" s="113">
        <f t="shared" si="7"/>
        <v>568750</v>
      </c>
      <c r="F26" s="113">
        <f t="shared" si="7"/>
        <v>568750</v>
      </c>
      <c r="G26" s="113">
        <f t="shared" si="7"/>
        <v>663671.42466761195</v>
      </c>
      <c r="H26" s="113">
        <f t="shared" si="7"/>
        <v>663671.42466761195</v>
      </c>
      <c r="I26" s="113">
        <f t="shared" si="7"/>
        <v>663671.42466761195</v>
      </c>
      <c r="J26" s="113">
        <f t="shared" si="7"/>
        <v>663671.42466761195</v>
      </c>
      <c r="K26" s="113">
        <f t="shared" si="7"/>
        <v>663671.42466761195</v>
      </c>
      <c r="L26" s="113">
        <f t="shared" si="7"/>
        <v>663671.42466761195</v>
      </c>
      <c r="M26" s="113">
        <f t="shared" si="7"/>
        <v>663671.42466761195</v>
      </c>
      <c r="N26" s="113">
        <f t="shared" si="7"/>
        <v>663671.42466761195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8" customHeight="1" x14ac:dyDescent="0.2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8" customHeight="1" x14ac:dyDescent="0.2">
      <c r="B28" s="10" t="s">
        <v>43</v>
      </c>
      <c r="C28" s="10"/>
      <c r="D28" s="109">
        <f>D21-D26</f>
        <v>-557869</v>
      </c>
      <c r="E28" s="109">
        <f t="shared" ref="E28:N28" si="8">E21-E26</f>
        <v>-557542.56999999995</v>
      </c>
      <c r="F28" s="109">
        <f t="shared" si="8"/>
        <v>-557206.34710000001</v>
      </c>
      <c r="G28" s="109">
        <f t="shared" si="8"/>
        <v>-651870.259510612</v>
      </c>
      <c r="H28" s="109">
        <f t="shared" si="8"/>
        <v>-651607.24181915191</v>
      </c>
      <c r="I28" s="109">
        <f t="shared" si="8"/>
        <v>-651338.60902852938</v>
      </c>
      <c r="J28" s="109">
        <f t="shared" si="8"/>
        <v>-651159.87458376097</v>
      </c>
      <c r="K28" s="109">
        <f t="shared" si="8"/>
        <v>-650979.6031061376</v>
      </c>
      <c r="L28" s="109">
        <f t="shared" si="8"/>
        <v>-650797.82498468331</v>
      </c>
      <c r="M28" s="109">
        <f t="shared" si="8"/>
        <v>-650614.57305009326</v>
      </c>
      <c r="N28" s="109">
        <f t="shared" si="8"/>
        <v>-650429.8826785835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8" customHeight="1" x14ac:dyDescent="0.2">
      <c r="B29" s="10" t="s">
        <v>44</v>
      </c>
      <c r="C29" s="10"/>
      <c r="D29" s="110">
        <f>D28</f>
        <v>-557869</v>
      </c>
      <c r="E29" s="110">
        <f>D29+E28</f>
        <v>-1115411.5699999998</v>
      </c>
      <c r="F29" s="110">
        <f t="shared" ref="F29:N29" si="9">E29+F28</f>
        <v>-1672617.9170999997</v>
      </c>
      <c r="G29" s="110">
        <f t="shared" si="9"/>
        <v>-2324488.1766106118</v>
      </c>
      <c r="H29" s="110">
        <f t="shared" si="9"/>
        <v>-2976095.418429764</v>
      </c>
      <c r="I29" s="110">
        <f t="shared" si="9"/>
        <v>-3627434.0274582934</v>
      </c>
      <c r="J29" s="110">
        <f t="shared" si="9"/>
        <v>-4278593.9020420546</v>
      </c>
      <c r="K29" s="110">
        <f t="shared" si="9"/>
        <v>-4929573.5051481919</v>
      </c>
      <c r="L29" s="110">
        <f t="shared" si="9"/>
        <v>-5580371.3301328756</v>
      </c>
      <c r="M29" s="110">
        <f t="shared" si="9"/>
        <v>-6230985.9031829685</v>
      </c>
      <c r="N29" s="110">
        <f t="shared" si="9"/>
        <v>-6881415.7858615518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8" customHeight="1" x14ac:dyDescent="0.2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8" customHeight="1" x14ac:dyDescent="0.2">
      <c r="B31" s="61" t="s">
        <v>45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8" customHeight="1" x14ac:dyDescent="0.2">
      <c r="B32" s="30" t="s">
        <v>46</v>
      </c>
      <c r="C32" s="30"/>
      <c r="D32" s="106">
        <f>D21/D26</f>
        <v>1.913142857142857E-2</v>
      </c>
      <c r="E32" s="106">
        <f t="shared" ref="E32:N32" si="10">E21/E26</f>
        <v>1.9705371428571428E-2</v>
      </c>
      <c r="F32" s="106">
        <f t="shared" si="10"/>
        <v>2.0296532571428574E-2</v>
      </c>
      <c r="G32" s="106">
        <f t="shared" si="10"/>
        <v>1.7781638199822154E-2</v>
      </c>
      <c r="H32" s="106">
        <f t="shared" si="10"/>
        <v>1.8177945290475825E-2</v>
      </c>
      <c r="I32" s="106">
        <f t="shared" si="10"/>
        <v>1.858271304246558E-2</v>
      </c>
      <c r="J32" s="106">
        <f t="shared" si="10"/>
        <v>1.8852024689954294E-2</v>
      </c>
      <c r="K32" s="106">
        <f t="shared" si="10"/>
        <v>1.9123652291991963E-2</v>
      </c>
      <c r="L32" s="106">
        <f t="shared" si="10"/>
        <v>1.9397550059317537E-2</v>
      </c>
      <c r="M32" s="106">
        <f t="shared" si="10"/>
        <v>1.9673668523634197E-2</v>
      </c>
      <c r="N32" s="106">
        <f t="shared" si="10"/>
        <v>1.99519543811311E-2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8" customHeight="1" x14ac:dyDescent="0.2">
      <c r="B33" s="33" t="s">
        <v>47</v>
      </c>
      <c r="C33" s="33"/>
      <c r="D33" s="101">
        <f>D28/Assumptions!C84</f>
        <v>-0.1364817125382263</v>
      </c>
      <c r="E33" s="101">
        <f>E28/Assumptions!C84</f>
        <v>-0.13640185198776758</v>
      </c>
      <c r="F33" s="101">
        <f>F28/Assumptions!C84</f>
        <v>-0.1363195956207951</v>
      </c>
      <c r="G33" s="101">
        <f>G28/Assumptions!C84</f>
        <v>-0.15947896257140354</v>
      </c>
      <c r="H33" s="101">
        <f>H28/Assumptions!C84</f>
        <v>-0.15941461573557233</v>
      </c>
      <c r="I33" s="101">
        <f>I28/Assumptions!C84</f>
        <v>-0.15934889517517539</v>
      </c>
      <c r="J33" s="101">
        <f>J28/Assumptions!C84</f>
        <v>-0.15930516809388648</v>
      </c>
      <c r="K33" s="101">
        <f>K28/Assumptions!C84</f>
        <v>-0.15926106498009482</v>
      </c>
      <c r="L33" s="101">
        <f>L28/Assumptions!C84</f>
        <v>-0.15921659326842405</v>
      </c>
      <c r="M33" s="101">
        <f>M28/Assumptions!C84</f>
        <v>-0.15917176099084851</v>
      </c>
      <c r="N33" s="101">
        <f>N28/Assumptions!C84</f>
        <v>-0.15912657680209993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8" customHeight="1" x14ac:dyDescent="0.2">
      <c r="B34" s="30" t="s">
        <v>48</v>
      </c>
      <c r="C34" s="30"/>
      <c r="D34" s="107">
        <f>D21/Assumptions!C7</f>
        <v>8.7047999999999997E-4</v>
      </c>
      <c r="E34" s="107">
        <f>E21/Assumptions!C7</f>
        <v>8.9659440000000004E-4</v>
      </c>
      <c r="F34" s="107">
        <f>F21/Assumptions!C7</f>
        <v>9.2349223200000009E-4</v>
      </c>
      <c r="G34" s="107">
        <f>G21/Assumptions!C7</f>
        <v>9.4409321256E-4</v>
      </c>
      <c r="H34" s="107">
        <f>H21/Assumptions!C7</f>
        <v>9.6513462787679979E-4</v>
      </c>
      <c r="I34" s="107">
        <f>I21/Assumptions!C7</f>
        <v>9.8662525112660376E-4</v>
      </c>
      <c r="J34" s="107">
        <f>J21/Assumptions!C7</f>
        <v>1.0009240067080768E-3</v>
      </c>
      <c r="K34" s="107">
        <f>K21/Assumptions!C7</f>
        <v>1.0153457249179479E-3</v>
      </c>
      <c r="L34" s="107">
        <f>L21/Assumptions!C7</f>
        <v>1.0298879746342873E-3</v>
      </c>
      <c r="M34" s="107">
        <f>M21/Assumptions!C7</f>
        <v>1.044548129401493E-3</v>
      </c>
      <c r="N34" s="107">
        <f>N21/Assumptions!C7</f>
        <v>1.0593233591222784E-3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8" customHeight="1" x14ac:dyDescent="0.2">
      <c r="B35" s="33" t="s">
        <v>49</v>
      </c>
      <c r="C35" s="33"/>
      <c r="D35" s="101">
        <f>D19/D11</f>
        <v>0.35</v>
      </c>
      <c r="E35" s="101">
        <f t="shared" ref="E35:N35" si="11">E19/E11</f>
        <v>0.35000000000000003</v>
      </c>
      <c r="F35" s="101">
        <f t="shared" si="11"/>
        <v>0.35000000000000003</v>
      </c>
      <c r="G35" s="101">
        <f t="shared" si="11"/>
        <v>0.35170731707317077</v>
      </c>
      <c r="H35" s="101">
        <f t="shared" si="11"/>
        <v>0.35342296252230826</v>
      </c>
      <c r="I35" s="101">
        <f t="shared" si="11"/>
        <v>0.35514697697363662</v>
      </c>
      <c r="J35" s="101">
        <f t="shared" si="11"/>
        <v>0.35862881008122122</v>
      </c>
      <c r="K35" s="101">
        <f t="shared" si="11"/>
        <v>0.36214477880750773</v>
      </c>
      <c r="L35" s="101">
        <f t="shared" si="11"/>
        <v>0.36569521781542447</v>
      </c>
      <c r="M35" s="101">
        <f t="shared" si="11"/>
        <v>0.36928046504890905</v>
      </c>
      <c r="N35" s="101">
        <f t="shared" si="11"/>
        <v>0.37290086176507481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x14ac:dyDescent="0.2">
      <c r="B36" s="6" t="s">
        <v>124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x14ac:dyDescent="0.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6C3E-5461-C049-ABA1-B3A565FB99F0}">
  <dimension ref="B2:AA221"/>
  <sheetViews>
    <sheetView workbookViewId="0"/>
  </sheetViews>
  <sheetFormatPr baseColWidth="10" defaultRowHeight="16" x14ac:dyDescent="0.2"/>
  <cols>
    <col min="1" max="1" width="4" customWidth="1"/>
    <col min="2" max="2" width="36.6640625" customWidth="1"/>
    <col min="3" max="3" width="18.33203125" customWidth="1"/>
    <col min="4" max="9" width="16.6640625" customWidth="1"/>
    <col min="10" max="14" width="15" customWidth="1"/>
  </cols>
  <sheetData>
    <row r="2" spans="2:27" ht="21" x14ac:dyDescent="0.25">
      <c r="B2" s="27" t="s">
        <v>125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2"/>
      <c r="P2" s="2"/>
      <c r="W2" s="2"/>
      <c r="X2" s="2"/>
      <c r="Y2" s="2"/>
      <c r="Z2" s="2"/>
    </row>
    <row r="3" spans="2:27" ht="16" customHeight="1" x14ac:dyDescent="0.2">
      <c r="B3" s="28" t="s">
        <v>128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8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22" customHeight="1" x14ac:dyDescent="0.2">
      <c r="B5" s="7" t="s">
        <v>126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8" customHeight="1" x14ac:dyDescent="0.2">
      <c r="B6" s="39" t="s">
        <v>83</v>
      </c>
      <c r="C6" s="40">
        <f>Assumptions!C62</f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1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8" customHeight="1" x14ac:dyDescent="0.2">
      <c r="B7" s="41" t="s">
        <v>132</v>
      </c>
      <c r="C7" s="42">
        <f>Assumptions!C63</f>
        <v>0.06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8" customHeight="1" x14ac:dyDescent="0.2">
      <c r="B8" s="43" t="s">
        <v>133</v>
      </c>
      <c r="C8" s="44">
        <f>Assumptions!C64</f>
        <v>0.02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1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8" customHeight="1" x14ac:dyDescent="0.2">
      <c r="B9" s="41" t="s">
        <v>134</v>
      </c>
      <c r="C9" s="45">
        <f>Assumptions!C84</f>
        <v>4087500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8" customHeight="1" x14ac:dyDescent="0.2">
      <c r="B10" s="43" t="s">
        <v>135</v>
      </c>
      <c r="C10" s="46">
        <f>Assumptions!C53</f>
        <v>8750000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8" customHeight="1" x14ac:dyDescent="0.2">
      <c r="B11" s="41" t="s">
        <v>136</v>
      </c>
      <c r="C11" s="47">
        <f>Assumptions!C67</f>
        <v>0.1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8" customHeight="1" x14ac:dyDescent="0.2">
      <c r="B12" s="43" t="s">
        <v>137</v>
      </c>
      <c r="C12" s="44">
        <f>Assumptions!C68</f>
        <v>0.08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8" customHeight="1" x14ac:dyDescent="0.2">
      <c r="B13" s="41" t="s">
        <v>138</v>
      </c>
      <c r="C13" s="47">
        <f>Assumptions!C69</f>
        <v>0.2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8" customHeight="1" x14ac:dyDescent="0.2">
      <c r="B14" s="43" t="s">
        <v>139</v>
      </c>
      <c r="C14" s="46">
        <f>Assumptions!C7</f>
        <v>12500000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1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8" customHeight="1" x14ac:dyDescent="0.2">
      <c r="B15" s="41" t="s">
        <v>140</v>
      </c>
      <c r="C15" s="42">
        <f>Assumptions!C54</f>
        <v>6.5000000000000002E-2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8" customHeight="1" x14ac:dyDescent="0.2">
      <c r="B16" s="48" t="s">
        <v>78</v>
      </c>
      <c r="C16" s="49">
        <f>Assumptions!C55</f>
        <v>24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1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8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22" customHeight="1" x14ac:dyDescent="0.2">
      <c r="B18" s="7" t="s">
        <v>127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8" customHeight="1" x14ac:dyDescent="0.2">
      <c r="B19" s="39" t="s">
        <v>141</v>
      </c>
      <c r="C19" s="53" cm="1">
        <f t="array" ref="C19">INDEX('Cash Flow'!D21:N21,1,C6+2)</f>
        <v>12511.550083850962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1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8" customHeight="1" x14ac:dyDescent="0.2">
      <c r="B20" s="41" t="s">
        <v>142</v>
      </c>
      <c r="C20" s="54">
        <f>C19/C7</f>
        <v>208525.83473084937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8" customHeight="1" x14ac:dyDescent="0.2">
      <c r="B21" s="43" t="s">
        <v>143</v>
      </c>
      <c r="C21" s="55">
        <f>-C20*C8</f>
        <v>-4170.5166946169875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1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8" customHeight="1" x14ac:dyDescent="0.2">
      <c r="B22" s="56" t="s">
        <v>144</v>
      </c>
      <c r="C22" s="57">
        <f>C20+C21</f>
        <v>204355.31803623238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8" customHeight="1" x14ac:dyDescent="0.2">
      <c r="B23" s="43" t="s">
        <v>145</v>
      </c>
      <c r="C23" s="55">
        <f>-IF(C6*12&lt;=C16,C10,C10-CUMPRINC(C15/12,360,C10,1,MIN(C6*12-C16,360),0))</f>
        <v>-9063491.3333635461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1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8" customHeight="1" x14ac:dyDescent="0.2">
      <c r="B24" s="56" t="s">
        <v>146</v>
      </c>
      <c r="C24" s="57">
        <f>C22+C23</f>
        <v>-8859136.0153273139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8" customHeight="1" x14ac:dyDescent="0.2">
      <c r="B25" s="43" t="s">
        <v>147</v>
      </c>
      <c r="C25" s="58">
        <f>C9</f>
        <v>4087500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1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8" customHeight="1" x14ac:dyDescent="0.2">
      <c r="B26" s="59" t="s">
        <v>148</v>
      </c>
      <c r="C26" s="60">
        <f>C24-C9</f>
        <v>-12946636.015327314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8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22" customHeight="1" x14ac:dyDescent="0.2">
      <c r="B28" s="7" t="s">
        <v>129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20" customHeight="1" x14ac:dyDescent="0.2">
      <c r="B29" s="63" t="s">
        <v>56</v>
      </c>
      <c r="C29" s="62">
        <v>0</v>
      </c>
      <c r="D29" s="62">
        <v>1</v>
      </c>
      <c r="E29" s="62">
        <v>2</v>
      </c>
      <c r="F29" s="62">
        <v>3</v>
      </c>
      <c r="G29" s="62">
        <v>4</v>
      </c>
      <c r="H29" s="62">
        <v>5</v>
      </c>
      <c r="I29" s="62">
        <v>6</v>
      </c>
      <c r="J29" s="62">
        <v>7</v>
      </c>
      <c r="K29" s="62">
        <v>8</v>
      </c>
      <c r="L29" s="62">
        <v>9</v>
      </c>
      <c r="M29" s="62">
        <v>10</v>
      </c>
      <c r="N29" s="62"/>
      <c r="O29" s="1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20" customHeight="1" x14ac:dyDescent="0.2">
      <c r="B30" s="65" t="s">
        <v>149</v>
      </c>
      <c r="C30" s="66">
        <f>-C9</f>
        <v>-4087500</v>
      </c>
      <c r="D30" s="66">
        <f>IF(D29&lt;=$C$6,'Cash Flow'!E28+IF(D29=$C$6,$C$24,0),0)</f>
        <v>-557542.56999999995</v>
      </c>
      <c r="E30" s="66">
        <f>IF(E29&lt;=$C$6,'Cash Flow'!F28+IF(E29=$C$6,$C$24,0),0)</f>
        <v>-557206.34710000001</v>
      </c>
      <c r="F30" s="66">
        <f>IF(F29&lt;=$C$6,'Cash Flow'!G28+IF(F29=$C$6,$C$24,0),0)</f>
        <v>-651870.259510612</v>
      </c>
      <c r="G30" s="66">
        <f>IF(G29&lt;=$C$6,'Cash Flow'!H28+IF(G29=$C$6,$C$24,0),0)</f>
        <v>-651607.24181915191</v>
      </c>
      <c r="H30" s="66">
        <f>IF(H29&lt;=$C$6,'Cash Flow'!I28+IF(H29=$C$6,$C$24,0),0)</f>
        <v>-9510474.6243558433</v>
      </c>
      <c r="I30" s="66">
        <f>IF(I29&lt;=$C$6,'Cash Flow'!J28+IF(I29=$C$6,$C$24,0),0)</f>
        <v>0</v>
      </c>
      <c r="J30" s="66">
        <f>IF(J29&lt;=$C$6,'Cash Flow'!K28+IF(J29=$C$6,$C$24,0),0)</f>
        <v>0</v>
      </c>
      <c r="K30" s="66">
        <f>IF(K29&lt;=$C$6,'Cash Flow'!L28+IF(K29=$C$6,$C$24,0),0)</f>
        <v>0</v>
      </c>
      <c r="L30" s="66">
        <f>IF(L29&lt;=$C$6,'Cash Flow'!M28+IF(L29=$C$6,$C$24,0),0)</f>
        <v>0</v>
      </c>
      <c r="M30" s="66">
        <f>IF(M29&lt;=$C$6,'Cash Flow'!N28+IF(M29=$C$6,$C$24,0),0)</f>
        <v>0</v>
      </c>
      <c r="N30" s="64"/>
      <c r="O30" s="1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" customHeight="1" x14ac:dyDescent="0.2">
      <c r="B31" s="68" t="s">
        <v>150</v>
      </c>
      <c r="C31" s="69">
        <f>'Cash Flow'!D28</f>
        <v>-557869</v>
      </c>
      <c r="D31" s="69">
        <f>'Cash Flow'!E28</f>
        <v>-557542.56999999995</v>
      </c>
      <c r="E31" s="69">
        <f>'Cash Flow'!F28</f>
        <v>-557206.34710000001</v>
      </c>
      <c r="F31" s="69">
        <f>'Cash Flow'!G28</f>
        <v>-651870.259510612</v>
      </c>
      <c r="G31" s="69">
        <f>'Cash Flow'!H28</f>
        <v>-651607.24181915191</v>
      </c>
      <c r="H31" s="69">
        <f>'Cash Flow'!I28</f>
        <v>-651338.60902852938</v>
      </c>
      <c r="I31" s="69">
        <f>'Cash Flow'!J28</f>
        <v>-651159.87458376097</v>
      </c>
      <c r="J31" s="69">
        <f>'Cash Flow'!K28</f>
        <v>-650979.6031061376</v>
      </c>
      <c r="K31" s="69">
        <f>'Cash Flow'!L28</f>
        <v>-650797.82498468331</v>
      </c>
      <c r="L31" s="69">
        <f>'Cash Flow'!M28</f>
        <v>-650614.57305009326</v>
      </c>
      <c r="M31" s="69">
        <f>'Cash Flow'!N28</f>
        <v>-650429.8826785835</v>
      </c>
      <c r="N31" s="67"/>
      <c r="O31" s="1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" thickBo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22" customHeight="1" x14ac:dyDescent="0.2">
      <c r="B33" s="75" t="s">
        <v>151</v>
      </c>
      <c r="C33" s="76" t="e">
        <f>IRR(C30:M30)</f>
        <v>#NUM!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1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22" customHeight="1" x14ac:dyDescent="0.2">
      <c r="B34" s="77" t="s">
        <v>152</v>
      </c>
      <c r="C34" s="78">
        <f>SUM(D30:M30)/-C30</f>
        <v>-2.9183366465530538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1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22" customHeight="1" x14ac:dyDescent="0.2">
      <c r="B35" s="79" t="s">
        <v>153</v>
      </c>
      <c r="C35" s="80">
        <f>AVERAGE(D31:INDEX(D31:M31,1,C6))/C9</f>
        <v>-0.15019278421814281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1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22" customHeight="1" thickBot="1" x14ac:dyDescent="0.25">
      <c r="B36" s="81" t="s">
        <v>154</v>
      </c>
      <c r="C36" s="82">
        <f>C26</f>
        <v>-12946636.015327314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1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22" customHeight="1" x14ac:dyDescent="0.2">
      <c r="B37" s="7" t="s">
        <v>165</v>
      </c>
      <c r="C37" s="130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1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22" customHeight="1" x14ac:dyDescent="0.2">
      <c r="B38" s="132" t="s">
        <v>166</v>
      </c>
      <c r="C38" s="133">
        <f>-C30</f>
        <v>4087500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1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22" customHeight="1" x14ac:dyDescent="0.2">
      <c r="B39" s="131" t="s">
        <v>167</v>
      </c>
      <c r="C39" s="134">
        <f>SUM(D30:G30)</f>
        <v>-2418226.418429764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22" customHeight="1" x14ac:dyDescent="0.2">
      <c r="B40" s="132" t="s">
        <v>168</v>
      </c>
      <c r="C40" s="133">
        <f>'Cash Flow'!I28</f>
        <v>-651338.60902852938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1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22" customHeight="1" x14ac:dyDescent="0.2">
      <c r="B41" s="131" t="s">
        <v>169</v>
      </c>
      <c r="C41" s="134">
        <f>C24</f>
        <v>-8859136.0153273139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1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22" customHeight="1" x14ac:dyDescent="0.2">
      <c r="B42" s="52" t="s">
        <v>170</v>
      </c>
      <c r="C42" s="135">
        <f>SUM(D30:M30)</f>
        <v>-11928701.042785607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1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22" customHeight="1" x14ac:dyDescent="0.2">
      <c r="B43" s="73" t="s">
        <v>171</v>
      </c>
      <c r="C43" s="74">
        <f>C34</f>
        <v>-2.9183366465530538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1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22" customHeight="1" x14ac:dyDescent="0.2">
      <c r="B44" s="137" t="s">
        <v>172</v>
      </c>
      <c r="C44" s="138">
        <f>SUM(D30:INDEX(D30:M30,1,C6-1))/(-C30)</f>
        <v>-0.59161502591553861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1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22" customHeight="1" x14ac:dyDescent="0.2">
      <c r="B45" s="136" t="s">
        <v>173</v>
      </c>
      <c r="C45" s="139" cm="1">
        <f t="array" ref="C45">INDEX(D30:M30,1,C6)/(-C30)</f>
        <v>-2.3267216206375152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1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22" customHeight="1" x14ac:dyDescent="0.2">
      <c r="B46" s="140"/>
      <c r="C46" s="24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1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8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22" customHeight="1" x14ac:dyDescent="0.2">
      <c r="B48" s="7" t="s">
        <v>130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20" customHeight="1" x14ac:dyDescent="0.2">
      <c r="B49" s="63" t="s">
        <v>56</v>
      </c>
      <c r="C49" s="62">
        <v>0</v>
      </c>
      <c r="D49" s="62">
        <v>1</v>
      </c>
      <c r="E49" s="62">
        <v>2</v>
      </c>
      <c r="F49" s="62">
        <v>3</v>
      </c>
      <c r="G49" s="62">
        <v>4</v>
      </c>
      <c r="H49" s="62">
        <v>5</v>
      </c>
      <c r="I49" s="62">
        <v>6</v>
      </c>
      <c r="J49" s="62">
        <v>7</v>
      </c>
      <c r="K49" s="62">
        <v>8</v>
      </c>
      <c r="L49" s="62">
        <v>9</v>
      </c>
      <c r="M49" s="62">
        <v>10</v>
      </c>
      <c r="N49" s="62"/>
      <c r="O49" s="1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20" customHeight="1" x14ac:dyDescent="0.2">
      <c r="B50" s="65" t="s">
        <v>155</v>
      </c>
      <c r="C50" s="66">
        <f>-(Assumptions!C10+Assumptions!C36)</f>
        <v>-12750000</v>
      </c>
      <c r="D50" s="66">
        <f>IF(D49&lt;=$C$6,'Cash Flow'!E21+IF(D49=$C$6,$C$22,0),0)</f>
        <v>11207.43</v>
      </c>
      <c r="E50" s="66">
        <f>IF(E49&lt;=$C$6,'Cash Flow'!F21+IF(E49=$C$6,$C$22,0),0)</f>
        <v>11543.652900000001</v>
      </c>
      <c r="F50" s="66">
        <f>IF(F49&lt;=$C$6,'Cash Flow'!G21+IF(F49=$C$6,$C$22,0),0)</f>
        <v>11801.165156999999</v>
      </c>
      <c r="G50" s="66">
        <f>IF(G49&lt;=$C$6,'Cash Flow'!H21+IF(G49=$C$6,$C$22,0),0)</f>
        <v>12064.182848459997</v>
      </c>
      <c r="H50" s="66">
        <f>IF(H49&lt;=$C$6,'Cash Flow'!I21+IF(H49=$C$6,$C$22,0),0)</f>
        <v>216688.13367531492</v>
      </c>
      <c r="I50" s="66">
        <f>IF(I49&lt;=$C$6,'Cash Flow'!J21+IF(I49=$C$6,$C$22,0),0)</f>
        <v>0</v>
      </c>
      <c r="J50" s="66">
        <f>IF(J49&lt;=$C$6,'Cash Flow'!K21+IF(J49=$C$6,$C$22,0),0)</f>
        <v>0</v>
      </c>
      <c r="K50" s="66">
        <f>IF(K49&lt;=$C$6,'Cash Flow'!L21+IF(K49=$C$6,$C$22,0),0)</f>
        <v>0</v>
      </c>
      <c r="L50" s="66">
        <f>IF(L49&lt;=$C$6,'Cash Flow'!M21+IF(L49=$C$6,$C$22,0),0)</f>
        <v>0</v>
      </c>
      <c r="M50" s="66">
        <f>IF(M49&lt;=$C$6,'Cash Flow'!N21+IF(M49=$C$6,$C$22,0),0)</f>
        <v>0</v>
      </c>
      <c r="N50" s="64"/>
      <c r="O50" s="1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6" customHeight="1" x14ac:dyDescent="0.2">
      <c r="B51" s="68" t="s">
        <v>156</v>
      </c>
      <c r="C51" s="69">
        <f>'Cash Flow'!D21</f>
        <v>10881</v>
      </c>
      <c r="D51" s="69">
        <f>'Cash Flow'!E21</f>
        <v>11207.43</v>
      </c>
      <c r="E51" s="69">
        <f>'Cash Flow'!F21</f>
        <v>11543.652900000001</v>
      </c>
      <c r="F51" s="69">
        <f>'Cash Flow'!G21</f>
        <v>11801.165156999999</v>
      </c>
      <c r="G51" s="69">
        <f>'Cash Flow'!H21</f>
        <v>12064.182848459997</v>
      </c>
      <c r="H51" s="69">
        <f>'Cash Flow'!I21</f>
        <v>12332.815639082546</v>
      </c>
      <c r="I51" s="69">
        <f>'Cash Flow'!J21</f>
        <v>12511.550083850962</v>
      </c>
      <c r="J51" s="69">
        <f>'Cash Flow'!K21</f>
        <v>12691.821561474349</v>
      </c>
      <c r="K51" s="69">
        <f>'Cash Flow'!L21</f>
        <v>12873.59968292859</v>
      </c>
      <c r="L51" s="69">
        <f>'Cash Flow'!M21</f>
        <v>13056.851617518661</v>
      </c>
      <c r="M51" s="69">
        <f>'Cash Flow'!N21</f>
        <v>13241.541989028479</v>
      </c>
      <c r="N51" s="67"/>
      <c r="O51" s="1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" thickBot="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22" customHeight="1" x14ac:dyDescent="0.2">
      <c r="B53" s="75" t="s">
        <v>157</v>
      </c>
      <c r="C53" s="76">
        <f>IRR(C50:M50)</f>
        <v>-0.55364590515426149</v>
      </c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1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22" customHeight="1" thickBot="1" x14ac:dyDescent="0.25">
      <c r="B54" s="83" t="s">
        <v>158</v>
      </c>
      <c r="C54" s="84">
        <f>SUM(D50:M50)/-C50</f>
        <v>2.0651338398492151E-2</v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1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22" customHeight="1" x14ac:dyDescent="0.2">
      <c r="B55" s="73"/>
      <c r="C55" s="74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1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22" customHeight="1" x14ac:dyDescent="0.2">
      <c r="B56" s="7" t="s">
        <v>174</v>
      </c>
      <c r="C56" s="14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22" customHeight="1" x14ac:dyDescent="0.2">
      <c r="B57" s="63" t="s">
        <v>175</v>
      </c>
      <c r="C57" s="142">
        <v>0</v>
      </c>
      <c r="D57" s="62">
        <v>1</v>
      </c>
      <c r="E57" s="62">
        <v>2</v>
      </c>
      <c r="F57" s="62">
        <v>3</v>
      </c>
      <c r="G57" s="62">
        <v>4</v>
      </c>
      <c r="H57" s="62">
        <v>5</v>
      </c>
      <c r="I57" s="62">
        <v>6</v>
      </c>
      <c r="J57" s="62">
        <v>7</v>
      </c>
      <c r="K57" s="62">
        <v>8</v>
      </c>
      <c r="L57" s="62">
        <v>9</v>
      </c>
      <c r="M57" s="62">
        <v>10</v>
      </c>
      <c r="N57" s="62" t="s">
        <v>176</v>
      </c>
      <c r="O57" s="1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22" customHeight="1" x14ac:dyDescent="0.2">
      <c r="B58" s="132" t="s">
        <v>177</v>
      </c>
      <c r="C58" s="133">
        <f t="shared" ref="C58:M58" si="0">C31</f>
        <v>-557869</v>
      </c>
      <c r="D58" s="102">
        <f t="shared" si="0"/>
        <v>-557542.56999999995</v>
      </c>
      <c r="E58" s="102">
        <f t="shared" si="0"/>
        <v>-557206.34710000001</v>
      </c>
      <c r="F58" s="102">
        <f t="shared" si="0"/>
        <v>-651870.259510612</v>
      </c>
      <c r="G58" s="102">
        <f t="shared" si="0"/>
        <v>-651607.24181915191</v>
      </c>
      <c r="H58" s="102">
        <f t="shared" si="0"/>
        <v>-651338.60902852938</v>
      </c>
      <c r="I58" s="102">
        <f t="shared" si="0"/>
        <v>-651159.87458376097</v>
      </c>
      <c r="J58" s="102">
        <f t="shared" si="0"/>
        <v>-650979.6031061376</v>
      </c>
      <c r="K58" s="102">
        <f t="shared" si="0"/>
        <v>-650797.82498468331</v>
      </c>
      <c r="L58" s="102">
        <f t="shared" si="0"/>
        <v>-650614.57305009326</v>
      </c>
      <c r="M58" s="102">
        <f t="shared" si="0"/>
        <v>-650429.8826785835</v>
      </c>
      <c r="N58" s="102">
        <f>AVERAGE(D58:M58)</f>
        <v>-632354.67858615518</v>
      </c>
      <c r="O58" s="1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22" customHeight="1" x14ac:dyDescent="0.2">
      <c r="B59" s="131" t="s">
        <v>178</v>
      </c>
      <c r="C59" s="143" t="s">
        <v>179</v>
      </c>
      <c r="D59" s="26">
        <f t="shared" ref="D59:M59" si="1">D58/$C$9</f>
        <v>-0.13640185198776758</v>
      </c>
      <c r="E59" s="26">
        <f t="shared" si="1"/>
        <v>-0.1363195956207951</v>
      </c>
      <c r="F59" s="26">
        <f t="shared" si="1"/>
        <v>-0.15947896257140354</v>
      </c>
      <c r="G59" s="26">
        <f t="shared" si="1"/>
        <v>-0.15941461573557233</v>
      </c>
      <c r="H59" s="26">
        <f t="shared" si="1"/>
        <v>-0.15934889517517539</v>
      </c>
      <c r="I59" s="26">
        <f t="shared" si="1"/>
        <v>-0.15930516809388648</v>
      </c>
      <c r="J59" s="26">
        <f t="shared" si="1"/>
        <v>-0.15926106498009482</v>
      </c>
      <c r="K59" s="26">
        <f t="shared" si="1"/>
        <v>-0.15921659326842405</v>
      </c>
      <c r="L59" s="26">
        <f t="shared" si="1"/>
        <v>-0.15917176099084851</v>
      </c>
      <c r="M59" s="26">
        <f t="shared" si="1"/>
        <v>-0.15912657680209993</v>
      </c>
      <c r="N59" s="26">
        <f>AVERAGE(D59:INDEX(D59:M59,1,C6))</f>
        <v>-0.15019278421814278</v>
      </c>
      <c r="O59" s="1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22" customHeight="1" x14ac:dyDescent="0.2">
      <c r="B60" s="132" t="s">
        <v>180</v>
      </c>
      <c r="C60" s="133">
        <f t="shared" ref="C60:M60" si="2">C51</f>
        <v>10881</v>
      </c>
      <c r="D60" s="102">
        <f t="shared" si="2"/>
        <v>11207.43</v>
      </c>
      <c r="E60" s="102">
        <f t="shared" si="2"/>
        <v>11543.652900000001</v>
      </c>
      <c r="F60" s="102">
        <f t="shared" si="2"/>
        <v>11801.165156999999</v>
      </c>
      <c r="G60" s="102">
        <f t="shared" si="2"/>
        <v>12064.182848459997</v>
      </c>
      <c r="H60" s="102">
        <f t="shared" si="2"/>
        <v>12332.815639082546</v>
      </c>
      <c r="I60" s="102">
        <f t="shared" si="2"/>
        <v>12511.550083850962</v>
      </c>
      <c r="J60" s="102">
        <f t="shared" si="2"/>
        <v>12691.821561474349</v>
      </c>
      <c r="K60" s="102">
        <f t="shared" si="2"/>
        <v>12873.59968292859</v>
      </c>
      <c r="L60" s="102">
        <f t="shared" si="2"/>
        <v>13056.851617518661</v>
      </c>
      <c r="M60" s="102">
        <f t="shared" si="2"/>
        <v>13241.541989028479</v>
      </c>
      <c r="N60" s="102">
        <f>AVERAGE(D60:M60)</f>
        <v>12332.46114793436</v>
      </c>
      <c r="O60" s="1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22" customHeight="1" x14ac:dyDescent="0.2">
      <c r="B61" s="131" t="s">
        <v>181</v>
      </c>
      <c r="C61" s="143" t="s">
        <v>179</v>
      </c>
      <c r="D61" s="26">
        <f>D60/C14</f>
        <v>8.9659440000000004E-4</v>
      </c>
      <c r="E61" s="26">
        <f>E60/C14</f>
        <v>9.2349223200000009E-4</v>
      </c>
      <c r="F61" s="26">
        <f>F60/C14</f>
        <v>9.4409321256E-4</v>
      </c>
      <c r="G61" s="26">
        <f>G60/C14</f>
        <v>9.6513462787679979E-4</v>
      </c>
      <c r="H61" s="26">
        <f>H60/C14</f>
        <v>9.8662525112660376E-4</v>
      </c>
      <c r="I61" s="26">
        <f>I60/C14</f>
        <v>1.0009240067080768E-3</v>
      </c>
      <c r="J61" s="26">
        <f>J60/C14</f>
        <v>1.0153457249179479E-3</v>
      </c>
      <c r="K61" s="26">
        <f>K60/C14</f>
        <v>1.0298879746342873E-3</v>
      </c>
      <c r="L61" s="26">
        <f>L60/C14</f>
        <v>1.044548129401493E-3</v>
      </c>
      <c r="M61" s="26">
        <f>M60/C14</f>
        <v>1.0593233591222784E-3</v>
      </c>
      <c r="N61" s="26">
        <f>AVERAGE(D61:M61)</f>
        <v>9.865968918347488E-4</v>
      </c>
      <c r="O61" s="1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22" customHeight="1" x14ac:dyDescent="0.2">
      <c r="B62" s="132" t="s">
        <v>46</v>
      </c>
      <c r="C62" s="144" t="s">
        <v>179</v>
      </c>
      <c r="D62" s="145">
        <f>'Cash Flow'!E32</f>
        <v>1.9705371428571428E-2</v>
      </c>
      <c r="E62" s="145">
        <f>'Cash Flow'!F32</f>
        <v>2.0296532571428574E-2</v>
      </c>
      <c r="F62" s="145">
        <f>'Cash Flow'!G32</f>
        <v>1.7781638199822154E-2</v>
      </c>
      <c r="G62" s="145">
        <f>'Cash Flow'!H32</f>
        <v>1.8177945290475825E-2</v>
      </c>
      <c r="H62" s="145">
        <f>'Cash Flow'!I32</f>
        <v>1.858271304246558E-2</v>
      </c>
      <c r="I62" s="145">
        <f>'Cash Flow'!J32</f>
        <v>1.8852024689954294E-2</v>
      </c>
      <c r="J62" s="145">
        <f>'Cash Flow'!K32</f>
        <v>1.9123652291991963E-2</v>
      </c>
      <c r="K62" s="145">
        <f>'Cash Flow'!L32</f>
        <v>1.9397550059317537E-2</v>
      </c>
      <c r="L62" s="145">
        <f>'Cash Flow'!M32</f>
        <v>1.9673668523634197E-2</v>
      </c>
      <c r="M62" s="145">
        <f>'Cash Flow'!N32</f>
        <v>1.99519543811311E-2</v>
      </c>
      <c r="N62" s="145">
        <f>AVERAGE(D62:M62)</f>
        <v>1.9154305047879266E-2</v>
      </c>
      <c r="O62" s="1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22" customHeight="1" x14ac:dyDescent="0.2">
      <c r="B63" s="146" t="s">
        <v>182</v>
      </c>
      <c r="C63" s="147" t="s">
        <v>183</v>
      </c>
      <c r="D63" s="148">
        <f>SUM($D30:D30)/$C$9</f>
        <v>-0.13640185198776758</v>
      </c>
      <c r="E63" s="148">
        <f>SUM($D30:E30)/$C$9</f>
        <v>-0.27272144760856271</v>
      </c>
      <c r="F63" s="148">
        <f>SUM($D30:F30)/$C$9</f>
        <v>-0.43220041017996619</v>
      </c>
      <c r="G63" s="148">
        <f>SUM($D30:G30)/$C$9</f>
        <v>-0.59161502591553861</v>
      </c>
      <c r="H63" s="148">
        <f>SUM($D30:H30)/$C$9</f>
        <v>-2.9183366465530538</v>
      </c>
      <c r="I63" s="148"/>
      <c r="J63" s="148"/>
      <c r="K63" s="148"/>
      <c r="L63" s="148"/>
      <c r="M63" s="148"/>
      <c r="N63" s="148">
        <f>C34</f>
        <v>-2.9183366465530538</v>
      </c>
      <c r="O63" s="1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8" customHeight="1" x14ac:dyDescent="0.2">
      <c r="B64" s="149" t="s">
        <v>184</v>
      </c>
      <c r="C64" s="29"/>
      <c r="D64" s="29"/>
      <c r="E64" s="29"/>
      <c r="F64" s="29"/>
      <c r="G64" s="29"/>
      <c r="H64" s="150">
        <f>C45/C43</f>
        <v>0.79727663475208899</v>
      </c>
      <c r="I64" s="29"/>
      <c r="J64" s="29"/>
      <c r="K64" s="29"/>
      <c r="L64" s="29"/>
      <c r="M64" s="29"/>
      <c r="N64" s="29"/>
      <c r="O64" s="1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22" customHeight="1" x14ac:dyDescent="0.2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8" customHeight="1" x14ac:dyDescent="0.2">
      <c r="B66" s="39" t="s">
        <v>159</v>
      </c>
      <c r="C66" s="53">
        <f>SUM(D30:M30)</f>
        <v>-11928701.042785607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1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8" customHeight="1" x14ac:dyDescent="0.2">
      <c r="B67" s="41" t="s">
        <v>147</v>
      </c>
      <c r="C67" s="54">
        <f>-C30</f>
        <v>4087500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8" customHeight="1" x14ac:dyDescent="0.2">
      <c r="B68" s="56" t="s">
        <v>154</v>
      </c>
      <c r="C68" s="57">
        <f>C66-C67</f>
        <v>-16016201.042785607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8" customHeight="1" x14ac:dyDescent="0.2">
      <c r="B69" s="41" t="s">
        <v>185</v>
      </c>
      <c r="C69" s="151">
        <f>C67*C12*C6</f>
        <v>1635000</v>
      </c>
      <c r="D69" s="152" t="s">
        <v>186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8" customHeight="1" x14ac:dyDescent="0.2">
      <c r="B70" s="43" t="s">
        <v>160</v>
      </c>
      <c r="C70" s="153">
        <f>C68-C69</f>
        <v>-17651201.042785607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8" customHeight="1" x14ac:dyDescent="0.2">
      <c r="B71" s="41" t="s">
        <v>187</v>
      </c>
      <c r="C71" s="151">
        <f>C70*C13</f>
        <v>-3530240.2085571215</v>
      </c>
      <c r="D71" s="152" t="s">
        <v>188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8" customHeight="1" x14ac:dyDescent="0.2">
      <c r="B72" s="56" t="s">
        <v>189</v>
      </c>
      <c r="C72" s="154">
        <f>C67*C11+C71</f>
        <v>-3121490.2085571215</v>
      </c>
      <c r="D72" s="155" t="s">
        <v>190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8" customHeight="1" x14ac:dyDescent="0.2">
      <c r="B73" s="59" t="s">
        <v>161</v>
      </c>
      <c r="C73" s="156">
        <f>C66-C72</f>
        <v>-8807210.8342284858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8" customHeight="1" x14ac:dyDescent="0.2">
      <c r="B74" s="146" t="s">
        <v>191</v>
      </c>
      <c r="C74" s="148">
        <f>C73/(C67*(1-C11))</f>
        <v>-2.3940770191582699</v>
      </c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22" customHeight="1" thickBot="1" x14ac:dyDescent="0.25">
      <c r="B75" s="7" t="s">
        <v>131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20" customHeight="1" x14ac:dyDescent="0.2">
      <c r="B76" s="88" t="s">
        <v>162</v>
      </c>
      <c r="C76" s="89">
        <v>0.01</v>
      </c>
      <c r="D76" s="89">
        <v>1.4999999999999999E-2</v>
      </c>
      <c r="E76" s="89">
        <v>0.02</v>
      </c>
      <c r="F76" s="89">
        <v>2.5000000000000001E-2</v>
      </c>
      <c r="G76" s="160">
        <v>0.03</v>
      </c>
      <c r="H76" s="89">
        <v>3.5000000000000003E-2</v>
      </c>
      <c r="I76" s="90">
        <v>0.04</v>
      </c>
      <c r="J76" s="2"/>
      <c r="K76" s="2"/>
      <c r="L76" s="2"/>
      <c r="M76" s="2"/>
      <c r="N76" s="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20" customHeight="1" x14ac:dyDescent="0.2">
      <c r="B77" s="157">
        <v>0.04</v>
      </c>
      <c r="C77" s="91">
        <f>IFERROR(IRR(Q91:V91),0)</f>
        <v>0</v>
      </c>
      <c r="D77" s="91">
        <f>IFERROR(IRR(Q92:V92),0)</f>
        <v>0</v>
      </c>
      <c r="E77" s="91">
        <f>IFERROR(IRR(Q93:V93),0)</f>
        <v>0</v>
      </c>
      <c r="F77" s="91">
        <f>IFERROR(IRR(Q94:V94),0)</f>
        <v>0</v>
      </c>
      <c r="G77" s="91">
        <f>IFERROR(IRR(Q95:V95),0)</f>
        <v>0</v>
      </c>
      <c r="H77" s="91">
        <f>IFERROR(IRR(Q96:V96),0)</f>
        <v>0</v>
      </c>
      <c r="I77" s="92">
        <f>IFERROR(IRR(Q97:V97),0)</f>
        <v>0</v>
      </c>
      <c r="J77" s="2"/>
      <c r="K77" s="2"/>
      <c r="L77" s="2"/>
      <c r="M77" s="2"/>
      <c r="N77" s="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x14ac:dyDescent="0.2">
      <c r="B78" s="157">
        <v>4.4999999999999998E-2</v>
      </c>
      <c r="C78" s="93">
        <f>IFERROR(IRR(Q98:V98),0)</f>
        <v>0</v>
      </c>
      <c r="D78" s="93">
        <f>IFERROR(IRR(Q99:V99),0)</f>
        <v>0</v>
      </c>
      <c r="E78" s="93">
        <f>IFERROR(IRR(Q100:V100),0)</f>
        <v>0</v>
      </c>
      <c r="F78" s="93">
        <f>IFERROR(IRR(Q101:V101),0)</f>
        <v>0</v>
      </c>
      <c r="G78" s="93">
        <f>IFERROR(IRR(Q102:V102),0)</f>
        <v>0</v>
      </c>
      <c r="H78" s="93">
        <f>IFERROR(IRR(Q103:V103),0)</f>
        <v>0</v>
      </c>
      <c r="I78" s="94">
        <f>IFERROR(IRR(Q104:V104),0)</f>
        <v>0</v>
      </c>
      <c r="J78" s="2"/>
      <c r="K78" s="2"/>
      <c r="L78" s="2"/>
      <c r="M78" s="2"/>
      <c r="N78" s="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x14ac:dyDescent="0.2">
      <c r="B79" s="157">
        <v>0.05</v>
      </c>
      <c r="C79" s="91">
        <f>IFERROR(IRR(Q105:V105),0)</f>
        <v>0</v>
      </c>
      <c r="D79" s="91">
        <f>IFERROR(IRR(Q106:V106),0)</f>
        <v>0</v>
      </c>
      <c r="E79" s="91">
        <f>IFERROR(IRR(Q107:V107),0)</f>
        <v>0</v>
      </c>
      <c r="F79" s="91">
        <f>IFERROR(IRR(Q108:V108),0)</f>
        <v>0</v>
      </c>
      <c r="G79" s="91">
        <f>IFERROR(IRR(Q109:V109),0)</f>
        <v>0</v>
      </c>
      <c r="H79" s="91">
        <f>IFERROR(IRR(Q110:V110),0)</f>
        <v>0</v>
      </c>
      <c r="I79" s="92">
        <f>IFERROR(IRR(Q111:V111),0)</f>
        <v>0</v>
      </c>
      <c r="J79" s="2"/>
      <c r="K79" s="2"/>
      <c r="L79" s="2"/>
      <c r="M79" s="2"/>
      <c r="N79" s="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" thickBot="1" x14ac:dyDescent="0.25">
      <c r="B80" s="157">
        <v>5.5E-2</v>
      </c>
      <c r="C80" s="93">
        <f>IFERROR(IRR(Q112:V112),0)</f>
        <v>0</v>
      </c>
      <c r="D80" s="93">
        <f>IFERROR(IRR(Q113:V113),0)</f>
        <v>0</v>
      </c>
      <c r="E80" s="93">
        <f>IFERROR(IRR(Q114:V114),0)</f>
        <v>0</v>
      </c>
      <c r="F80" s="93">
        <f>IFERROR(IRR(Q115:V115),0)</f>
        <v>0</v>
      </c>
      <c r="G80" s="172">
        <f>IFERROR(IRR(Q116:V116),0)</f>
        <v>0</v>
      </c>
      <c r="H80" s="93">
        <f>IFERROR(IRR(Q117:V117),0)</f>
        <v>0</v>
      </c>
      <c r="I80" s="94">
        <f>IFERROR(IRR(Q118:V118),0)</f>
        <v>0</v>
      </c>
      <c r="J80" s="2"/>
      <c r="K80" s="2"/>
      <c r="L80" s="2"/>
      <c r="M80" s="2"/>
      <c r="N80" s="2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" thickBot="1" x14ac:dyDescent="0.25">
      <c r="B81" s="158">
        <v>0.06</v>
      </c>
      <c r="C81" s="91">
        <f>IFERROR(IRR(Q119:V119),0)</f>
        <v>0</v>
      </c>
      <c r="D81" s="91">
        <f>IFERROR(IRR(Q120:V120),0)</f>
        <v>0</v>
      </c>
      <c r="E81" s="91">
        <f>IFERROR(IRR(Q121:V121),0)</f>
        <v>0</v>
      </c>
      <c r="F81" s="170">
        <f>IFERROR(IRR(Q122:V122),0)</f>
        <v>0</v>
      </c>
      <c r="G81" s="174">
        <f>IFERROR(IRR(Q123:V123),0)</f>
        <v>0</v>
      </c>
      <c r="H81" s="171">
        <f>IFERROR(IRR(Q124:V124),0)</f>
        <v>0</v>
      </c>
      <c r="I81" s="92">
        <f>IFERROR(IRR(Q125:V125),0)</f>
        <v>0</v>
      </c>
      <c r="J81" s="2"/>
      <c r="K81" s="2"/>
      <c r="L81" s="2"/>
      <c r="M81" s="2"/>
      <c r="N81" s="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x14ac:dyDescent="0.2">
      <c r="B82" s="157">
        <v>6.5000000000000002E-2</v>
      </c>
      <c r="C82" s="93">
        <f>IFERROR(IRR(Q126:V126),0)</f>
        <v>0</v>
      </c>
      <c r="D82" s="93">
        <f>IFERROR(IRR(Q127:V127),0)</f>
        <v>0</v>
      </c>
      <c r="E82" s="93">
        <f>IFERROR(IRR(Q128:V128),0)</f>
        <v>0</v>
      </c>
      <c r="F82" s="93">
        <f>IFERROR(IRR(Q129:V129),0)</f>
        <v>0</v>
      </c>
      <c r="G82" s="173">
        <f>IFERROR(IRR(Q130:V130),0)</f>
        <v>0</v>
      </c>
      <c r="H82" s="93">
        <f>IFERROR(IRR(Q131:V131),0)</f>
        <v>0</v>
      </c>
      <c r="I82" s="94">
        <f>IFERROR(IRR(Q132:V132),0)</f>
        <v>0</v>
      </c>
      <c r="J82" s="2"/>
      <c r="K82" s="2"/>
      <c r="L82" s="2"/>
      <c r="M82" s="2"/>
      <c r="N82" s="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" thickBot="1" x14ac:dyDescent="0.25">
      <c r="B83" s="159">
        <v>7.0000000000000007E-2</v>
      </c>
      <c r="C83" s="95">
        <f>IFERROR(IRR(Q133:V133),0)</f>
        <v>0</v>
      </c>
      <c r="D83" s="95">
        <f>IFERROR(IRR(Q134:V134),0)</f>
        <v>0</v>
      </c>
      <c r="E83" s="95">
        <f>IFERROR(IRR(Q135:V135),0)</f>
        <v>0</v>
      </c>
      <c r="F83" s="95">
        <f>IFERROR(IRR(Q136:V136),0)</f>
        <v>0</v>
      </c>
      <c r="G83" s="95">
        <f>IFERROR(IRR(Q137:V137),0)</f>
        <v>0</v>
      </c>
      <c r="H83" s="95">
        <f>IFERROR(IRR(Q138:V138),0)</f>
        <v>0</v>
      </c>
      <c r="I83" s="96">
        <f>IFERROR(IRR(Q139:V139),0)</f>
        <v>0</v>
      </c>
      <c r="J83" s="2"/>
      <c r="K83" s="2"/>
      <c r="L83" s="2"/>
      <c r="M83" s="2"/>
      <c r="N83" s="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x14ac:dyDescent="0.2">
      <c r="B84" s="28" t="s">
        <v>192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idden="1" x14ac:dyDescent="0.2">
      <c r="B86" s="2" t="s">
        <v>163</v>
      </c>
      <c r="C86" s="2"/>
      <c r="D86" s="2">
        <f>'Cash Flow'!E28</f>
        <v>-557542.56999999995</v>
      </c>
      <c r="E86" s="2">
        <f>'Cash Flow'!F28</f>
        <v>-557206.34710000001</v>
      </c>
      <c r="F86" s="2">
        <f>'Cash Flow'!G28</f>
        <v>-651870.259510612</v>
      </c>
      <c r="G86" s="2">
        <f>'Cash Flow'!H28</f>
        <v>-651607.24181915191</v>
      </c>
      <c r="H86" s="2">
        <f>'Cash Flow'!I28</f>
        <v>-651338.60902852938</v>
      </c>
      <c r="I86" s="2"/>
      <c r="J86" s="2"/>
      <c r="K86" s="2"/>
      <c r="L86" s="2"/>
      <c r="M86" s="2"/>
      <c r="N86" s="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x14ac:dyDescent="0.2">
      <c r="B87" s="3" t="s">
        <v>164</v>
      </c>
      <c r="C87" s="2"/>
      <c r="D87" s="3">
        <f>'Cash Flow'!I21</f>
        <v>12332.815639082546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idden="1" x14ac:dyDescent="0.2">
      <c r="B88" s="7" t="s">
        <v>193</v>
      </c>
      <c r="C88" s="7"/>
      <c r="D88" s="7"/>
      <c r="E88" s="7"/>
      <c r="F88" s="7"/>
      <c r="G88" s="7"/>
      <c r="H88" s="7"/>
      <c r="I88" s="7"/>
      <c r="J88" s="2"/>
      <c r="K88" s="2"/>
      <c r="L88" s="2"/>
      <c r="M88" s="2"/>
      <c r="N88" s="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x14ac:dyDescent="0.2">
      <c r="B89" s="62" t="s">
        <v>194</v>
      </c>
      <c r="C89" s="62">
        <v>3</v>
      </c>
      <c r="D89" s="62">
        <v>4</v>
      </c>
      <c r="E89" s="161">
        <v>5</v>
      </c>
      <c r="F89" s="62">
        <v>6</v>
      </c>
      <c r="G89" s="62">
        <v>7</v>
      </c>
      <c r="H89" s="62">
        <v>8</v>
      </c>
      <c r="I89" s="62">
        <v>10</v>
      </c>
      <c r="J89" s="2"/>
      <c r="K89" s="2"/>
      <c r="L89" s="2"/>
      <c r="M89" s="2"/>
      <c r="N89" s="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x14ac:dyDescent="0.2">
      <c r="B90" s="162">
        <v>0.04</v>
      </c>
      <c r="C90" s="25" t="str" cm="1">
        <f t="array" ref="C90">IFERROR(IRR((-C9,IF(D29&lt;=3,'Cash Flow'!E28+IF(D29=3,B18_yr3/0.04-B19_yr3*C8+B22_yr3,0),0),IF(E29&lt;=3,'Cash Flow'!F28+IF(E29=3,B18_yr3/0.04-B19_yr3*C8+B22_yr3,0),0))),"—")</f>
        <v>—</v>
      </c>
      <c r="D90" s="163" t="s">
        <v>183</v>
      </c>
      <c r="E90" s="163" t="s">
        <v>183</v>
      </c>
      <c r="F90" s="163" t="s">
        <v>183</v>
      </c>
      <c r="G90" s="163" t="s">
        <v>183</v>
      </c>
      <c r="H90" s="163" t="s">
        <v>183</v>
      </c>
      <c r="I90" s="163" t="s">
        <v>183</v>
      </c>
      <c r="J90" s="2"/>
      <c r="K90" s="2"/>
      <c r="L90" s="2"/>
      <c r="M90" s="2"/>
      <c r="N90" s="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idden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2"/>
      <c r="P91" s="2"/>
      <c r="Q91" s="2">
        <f t="shared" ref="Q91:Q122" si="3">-$C$9</f>
        <v>-4087500</v>
      </c>
      <c r="R91" s="2">
        <f>D86*0.98058</f>
        <v>-546715.09329059999</v>
      </c>
      <c r="S91" s="2">
        <f>E86*0.96154</f>
        <v>-535776.19099053403</v>
      </c>
      <c r="T91" s="2">
        <f>F86*0.94287</f>
        <v>-614628.91158477077</v>
      </c>
      <c r="U91" s="2">
        <f>G86*0.92456</f>
        <v>-602449.99149631511</v>
      </c>
      <c r="V91" s="85">
        <f>H86*0.98058+$D$87*0.98058/0.04*(1-$C$8)-$C$10</f>
        <v>-9092403.4604365919</v>
      </c>
      <c r="W91" s="2"/>
      <c r="X91" s="2"/>
      <c r="Y91" s="2"/>
      <c r="Z91" s="2"/>
      <c r="AA91" s="2"/>
    </row>
    <row r="92" spans="2:27" hidden="1" x14ac:dyDescent="0.2">
      <c r="B92" s="29"/>
      <c r="C92" s="29"/>
      <c r="D92" s="29"/>
      <c r="E92" s="29"/>
      <c r="F92" s="29"/>
      <c r="G92" s="29"/>
      <c r="H92" s="29"/>
      <c r="I92" s="29"/>
      <c r="J92" s="2"/>
      <c r="K92" s="2"/>
      <c r="L92" s="2"/>
      <c r="M92" s="2"/>
      <c r="N92" s="2"/>
      <c r="O92" s="2"/>
      <c r="P92" s="2"/>
      <c r="Q92" s="2">
        <f t="shared" si="3"/>
        <v>-4087500</v>
      </c>
      <c r="R92" s="2">
        <f>D86*0.98544</f>
        <v>-549424.75018079998</v>
      </c>
      <c r="S92" s="2">
        <f>E86*0.97109</f>
        <v>-541097.51160533901</v>
      </c>
      <c r="T92" s="2">
        <f>F86*0.95694</f>
        <v>-623800.72613608511</v>
      </c>
      <c r="U92" s="2">
        <f>G86*0.94301</f>
        <v>-614472.14510787849</v>
      </c>
      <c r="V92" s="85">
        <f>H86*0.98544+$D$87*0.98544/0.04*(1-$C$8)-$C$10</f>
        <v>-9094100.4977183249</v>
      </c>
      <c r="W92" s="2"/>
      <c r="X92" s="2"/>
      <c r="Y92" s="2"/>
      <c r="Z92" s="2"/>
      <c r="AA92" s="2"/>
    </row>
    <row r="93" spans="2:27" hidden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>
        <f t="shared" si="3"/>
        <v>-4087500</v>
      </c>
      <c r="R93" s="2">
        <f>D86*0.99029</f>
        <v>-552128.83164529991</v>
      </c>
      <c r="S93" s="2">
        <f>E86*0.98068</f>
        <v>-546441.12047402805</v>
      </c>
      <c r="T93" s="2">
        <f>F86*0.97116</f>
        <v>-633070.32122632593</v>
      </c>
      <c r="U93" s="2">
        <f>G86*0.96173</f>
        <v>-626670.23267473292</v>
      </c>
      <c r="V93" s="85">
        <f>H86*0.99029+$D$87*0.99029/0.04*(1-$C$8)-$C$10</f>
        <v>-9095794.0431538001</v>
      </c>
      <c r="W93" s="2"/>
      <c r="X93" s="2"/>
      <c r="Y93" s="2"/>
      <c r="Z93" s="2"/>
      <c r="AA93" s="2"/>
    </row>
    <row r="94" spans="2:27" hidden="1" x14ac:dyDescent="0.2">
      <c r="B94" s="29"/>
      <c r="C94" s="29"/>
      <c r="D94" s="29"/>
      <c r="E94" s="29"/>
      <c r="F94" s="29"/>
      <c r="G94" s="29"/>
      <c r="H94" s="29"/>
      <c r="I94" s="29"/>
      <c r="J94" s="2"/>
      <c r="K94" s="2"/>
      <c r="L94" s="2"/>
      <c r="M94" s="2"/>
      <c r="N94" s="2"/>
      <c r="O94" s="2"/>
      <c r="P94" s="2"/>
      <c r="Q94" s="2">
        <f t="shared" si="3"/>
        <v>-4087500</v>
      </c>
      <c r="R94" s="2">
        <f>D86*0.99515</f>
        <v>-554838.4885354999</v>
      </c>
      <c r="S94" s="2">
        <f>E86*0.99031</f>
        <v>-551807.01759660104</v>
      </c>
      <c r="T94" s="2">
        <f>F86*0.98551</f>
        <v>-642424.65945030318</v>
      </c>
      <c r="U94" s="2">
        <f>G86*0.98072</f>
        <v>-639044.25419687864</v>
      </c>
      <c r="V94" s="85">
        <f>H86*0.99515+$D$87*0.99515/0.04*(1-$C$8)-$C$10</f>
        <v>-9097491.0804355331</v>
      </c>
      <c r="W94" s="2"/>
      <c r="X94" s="2"/>
      <c r="Y94" s="2"/>
      <c r="Z94" s="2"/>
      <c r="AA94" s="2"/>
    </row>
    <row r="95" spans="2:27" hidden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>
        <f t="shared" si="3"/>
        <v>-4087500</v>
      </c>
      <c r="R95" s="2">
        <f>D86*1</f>
        <v>-557542.56999999995</v>
      </c>
      <c r="S95" s="2">
        <f>E86*1</f>
        <v>-557206.34710000001</v>
      </c>
      <c r="T95" s="2">
        <f>F86*1</f>
        <v>-651870.259510612</v>
      </c>
      <c r="U95" s="2">
        <f>G86*1</f>
        <v>-651607.24181915191</v>
      </c>
      <c r="V95" s="51">
        <f>H86*1+$D$87*1/0.04*(1-$C$8)-$C$10</f>
        <v>-9099184.6258710064</v>
      </c>
      <c r="W95" s="2"/>
      <c r="X95" s="2"/>
      <c r="Y95" s="2"/>
      <c r="Z95" s="2"/>
      <c r="AA95" s="2"/>
    </row>
    <row r="96" spans="2:27" hidden="1" x14ac:dyDescent="0.2">
      <c r="B96" s="29"/>
      <c r="C96" s="29"/>
      <c r="D96" s="29"/>
      <c r="E96" s="29"/>
      <c r="F96" s="29"/>
      <c r="G96" s="29"/>
      <c r="H96" s="29"/>
      <c r="I96" s="29"/>
      <c r="J96" s="2"/>
      <c r="K96" s="2"/>
      <c r="L96" s="2"/>
      <c r="M96" s="2"/>
      <c r="N96" s="2"/>
      <c r="O96" s="2"/>
      <c r="P96" s="2"/>
      <c r="Q96" s="2">
        <f t="shared" si="3"/>
        <v>-4087500</v>
      </c>
      <c r="R96" s="2">
        <f>D86*1.00485</f>
        <v>-560246.6514645</v>
      </c>
      <c r="S96" s="2">
        <f>E86*1.00973</f>
        <v>-562627.96485728305</v>
      </c>
      <c r="T96" s="2">
        <f>F86*1.01463</f>
        <v>-661407.12140725215</v>
      </c>
      <c r="U96" s="2">
        <f>G86*1.01956</f>
        <v>-664352.67946913454</v>
      </c>
      <c r="V96" s="85">
        <f>H86*1.00485+$D$87*1.00485/0.04*(1-$C$8)-$C$10</f>
        <v>-9100878.1713064816</v>
      </c>
      <c r="W96" s="2"/>
      <c r="X96" s="2"/>
      <c r="Y96" s="2"/>
      <c r="Z96" s="2"/>
      <c r="AA96" s="2"/>
    </row>
    <row r="97" spans="2:27" hidden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>
        <f t="shared" si="3"/>
        <v>-4087500</v>
      </c>
      <c r="R97" s="2">
        <f>D86*1.00971</f>
        <v>-562956.30835469998</v>
      </c>
      <c r="S97" s="2">
        <f>E86*1.01951</f>
        <v>-568077.44293192099</v>
      </c>
      <c r="T97" s="2">
        <f>F86*1.02941</f>
        <v>-671041.76384281903</v>
      </c>
      <c r="U97" s="2">
        <f>G86*1.0394</f>
        <v>-677280.56714682654</v>
      </c>
      <c r="V97" s="86">
        <f>H86*1.00971+$D$87*1.00971/0.04*(1-$C$8)-$C$10</f>
        <v>-9102575.2085882146</v>
      </c>
      <c r="W97" s="2"/>
      <c r="X97" s="2"/>
      <c r="Y97" s="2"/>
      <c r="Z97" s="2"/>
      <c r="AA97" s="2"/>
    </row>
    <row r="98" spans="2:27" hidden="1" x14ac:dyDescent="0.2">
      <c r="B98" s="28" t="s">
        <v>195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>
        <f t="shared" si="3"/>
        <v>-4087500</v>
      </c>
      <c r="R98" s="2">
        <f>D86*0.98058</f>
        <v>-546715.09329059999</v>
      </c>
      <c r="S98" s="2">
        <f>E86*0.96154</f>
        <v>-535776.19099053403</v>
      </c>
      <c r="T98" s="2">
        <f>F86*0.94287</f>
        <v>-614628.91158477077</v>
      </c>
      <c r="U98" s="2">
        <f>G86*0.92456</f>
        <v>-602449.99149631511</v>
      </c>
      <c r="V98" s="85">
        <f>H86*0.96154+$D$87*0.96154/0.045*(1-$C$8)-$C$10</f>
        <v>-9118036.4452672619</v>
      </c>
      <c r="W98" s="2"/>
      <c r="X98" s="2"/>
      <c r="Y98" s="2"/>
      <c r="Z98" s="2"/>
      <c r="AA98" s="2"/>
    </row>
    <row r="99" spans="2:27" hidden="1" x14ac:dyDescent="0.2">
      <c r="B99" s="152" t="s">
        <v>196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>
        <f t="shared" si="3"/>
        <v>-4087500</v>
      </c>
      <c r="R99" s="2">
        <f>D86*0.98544</f>
        <v>-549424.75018079998</v>
      </c>
      <c r="S99" s="2">
        <f>E86*0.97109</f>
        <v>-541097.51160533901</v>
      </c>
      <c r="T99" s="2">
        <f>F86*0.95694</f>
        <v>-623800.72613608511</v>
      </c>
      <c r="U99" s="2">
        <f>G86*0.94301</f>
        <v>-614472.14510787849</v>
      </c>
      <c r="V99" s="85">
        <f>H86*0.97109+$D$87*0.97109/0.045*(1-$C$8)-$C$10</f>
        <v>-9121691.777393125</v>
      </c>
      <c r="W99" s="2"/>
      <c r="X99" s="2"/>
      <c r="Y99" s="2"/>
      <c r="Z99" s="2"/>
      <c r="AA99" s="2"/>
    </row>
    <row r="100" spans="2:27" hidden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>
        <f t="shared" si="3"/>
        <v>-4087500</v>
      </c>
      <c r="R100" s="2">
        <f>D86*0.99029</f>
        <v>-552128.83164529991</v>
      </c>
      <c r="S100" s="2">
        <f>E86*0.98068</f>
        <v>-546441.12047402805</v>
      </c>
      <c r="T100" s="2">
        <f>F86*0.97116</f>
        <v>-633070.32122632593</v>
      </c>
      <c r="U100" s="2">
        <f>G86*0.96173</f>
        <v>-626670.23267473292</v>
      </c>
      <c r="V100" s="85">
        <f>H86*0.98068+$D$87*0.98068/0.045*(1-$C$8)-$C$10</f>
        <v>-9125362.4198106155</v>
      </c>
      <c r="W100" s="2"/>
      <c r="X100" s="2"/>
      <c r="Y100" s="2"/>
      <c r="Z100" s="2"/>
      <c r="AA100" s="2"/>
    </row>
    <row r="101" spans="2:27" hidden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>
        <f t="shared" si="3"/>
        <v>-4087500</v>
      </c>
      <c r="R101" s="2">
        <f>D86*0.99515</f>
        <v>-554838.4885354999</v>
      </c>
      <c r="S101" s="2">
        <f>E86*0.99031</f>
        <v>-551807.01759660104</v>
      </c>
      <c r="T101" s="2">
        <f>F86*0.98551</f>
        <v>-642424.65945030318</v>
      </c>
      <c r="U101" s="2">
        <f>G86*0.98072</f>
        <v>-639044.25419687864</v>
      </c>
      <c r="V101" s="85">
        <f>H86*0.99031+$D$87*0.99031/0.045*(1-$C$8)-$C$10</f>
        <v>-9129048.3725197315</v>
      </c>
      <c r="W101" s="2"/>
      <c r="X101" s="2"/>
      <c r="Y101" s="2"/>
      <c r="Z101" s="2"/>
      <c r="AA101" s="2"/>
    </row>
    <row r="102" spans="2:27" hidden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>
        <f t="shared" si="3"/>
        <v>-4087500</v>
      </c>
      <c r="R102" s="2">
        <f>D86*1</f>
        <v>-557542.56999999995</v>
      </c>
      <c r="S102" s="2">
        <f>E86*1</f>
        <v>-557206.34710000001</v>
      </c>
      <c r="T102" s="2">
        <f>F86*1</f>
        <v>-651870.259510612</v>
      </c>
      <c r="U102" s="2">
        <f>G86*1</f>
        <v>-651607.24181915191</v>
      </c>
      <c r="V102" s="87">
        <f>H86*1+$D$87*1/0.045*(1-$C$8)-$C$10</f>
        <v>-9132757.2906662878</v>
      </c>
      <c r="W102" s="2"/>
      <c r="X102" s="2"/>
      <c r="Y102" s="2"/>
      <c r="Z102" s="2"/>
      <c r="AA102" s="2"/>
    </row>
    <row r="103" spans="2:27" hidden="1" x14ac:dyDescent="0.2">
      <c r="B103" s="7" t="s">
        <v>197</v>
      </c>
      <c r="C103" s="7"/>
      <c r="D103" s="7"/>
      <c r="E103" s="7"/>
      <c r="F103" s="7"/>
      <c r="G103" s="7"/>
      <c r="H103" s="7"/>
      <c r="I103" s="7"/>
      <c r="J103" s="2"/>
      <c r="K103" s="2"/>
      <c r="L103" s="2"/>
      <c r="M103" s="2"/>
      <c r="N103" s="2"/>
      <c r="O103" s="2"/>
      <c r="P103" s="2"/>
      <c r="Q103" s="2">
        <f t="shared" si="3"/>
        <v>-4087500</v>
      </c>
      <c r="R103" s="2">
        <f>D86*1.00485</f>
        <v>-560246.6514645</v>
      </c>
      <c r="S103" s="2">
        <f>E86*1.00973</f>
        <v>-562627.96485728305</v>
      </c>
      <c r="T103" s="2">
        <f>F86*1.01463</f>
        <v>-661407.12140725215</v>
      </c>
      <c r="U103" s="2">
        <f>G86*1.01956</f>
        <v>-664352.67946913454</v>
      </c>
      <c r="V103" s="85">
        <f>H86*1.00973+$D$87*1.00973/0.045*(1-$C$8)-$C$10</f>
        <v>-9136481.5191044696</v>
      </c>
      <c r="W103" s="2"/>
      <c r="X103" s="2"/>
      <c r="Y103" s="2"/>
      <c r="Z103" s="2"/>
      <c r="AA103" s="2"/>
    </row>
    <row r="104" spans="2:27" hidden="1" x14ac:dyDescent="0.2">
      <c r="B104" s="62" t="s">
        <v>198</v>
      </c>
      <c r="C104" s="164">
        <v>0.04</v>
      </c>
      <c r="D104" s="164">
        <v>4.4999999999999998E-2</v>
      </c>
      <c r="E104" s="164">
        <v>0.05</v>
      </c>
      <c r="F104" s="164">
        <v>5.5E-2</v>
      </c>
      <c r="G104" s="164">
        <v>0.06</v>
      </c>
      <c r="H104" s="165">
        <v>6.5000000000000002E-2</v>
      </c>
      <c r="I104" s="164">
        <v>7.0000000000000007E-2</v>
      </c>
      <c r="J104" s="2"/>
      <c r="K104" s="2"/>
      <c r="L104" s="2"/>
      <c r="M104" s="2"/>
      <c r="N104" s="2"/>
      <c r="O104" s="2"/>
      <c r="P104" s="2"/>
      <c r="Q104" s="2">
        <f t="shared" si="3"/>
        <v>-4087500</v>
      </c>
      <c r="R104" s="2">
        <f>D86*1.00971</f>
        <v>-562956.30835469998</v>
      </c>
      <c r="S104" s="2">
        <f>E86*1.01951</f>
        <v>-568077.44293192099</v>
      </c>
      <c r="T104" s="2">
        <f>F86*1.02941</f>
        <v>-671041.76384281903</v>
      </c>
      <c r="U104" s="2">
        <f>G86*1.0394</f>
        <v>-677280.56714682654</v>
      </c>
      <c r="V104" s="86">
        <f>H86*1.01951+$D$87*1.01951/0.045*(1-$C$8)-$C$10</f>
        <v>-9140224.885407187</v>
      </c>
      <c r="W104" s="2"/>
      <c r="X104" s="2"/>
      <c r="Y104" s="2"/>
      <c r="Z104" s="2"/>
      <c r="AA104" s="2"/>
    </row>
    <row r="105" spans="2:27" hidden="1" x14ac:dyDescent="0.2">
      <c r="B105" s="166">
        <v>0.55000000000000004</v>
      </c>
      <c r="C105" s="167" t="s">
        <v>183</v>
      </c>
      <c r="D105" s="167" t="s">
        <v>183</v>
      </c>
      <c r="E105" s="167" t="s">
        <v>183</v>
      </c>
      <c r="F105" s="167" t="s">
        <v>183</v>
      </c>
      <c r="G105" s="167" t="s">
        <v>183</v>
      </c>
      <c r="H105" s="167" t="s">
        <v>183</v>
      </c>
      <c r="I105" s="167" t="s">
        <v>183</v>
      </c>
      <c r="J105" s="2"/>
      <c r="K105" s="2"/>
      <c r="L105" s="2"/>
      <c r="M105" s="2"/>
      <c r="N105" s="2"/>
      <c r="O105" s="2"/>
      <c r="P105" s="2"/>
      <c r="Q105" s="2">
        <f t="shared" si="3"/>
        <v>-4087500</v>
      </c>
      <c r="R105" s="2">
        <f>D86*0.98058</f>
        <v>-546715.09329059999</v>
      </c>
      <c r="S105" s="2">
        <f>E86*0.96154</f>
        <v>-535776.19099053403</v>
      </c>
      <c r="T105" s="2">
        <f>F86*0.94287</f>
        <v>-614628.91158477077</v>
      </c>
      <c r="U105" s="2">
        <f>G86*0.92456</f>
        <v>-602449.99149631511</v>
      </c>
      <c r="V105" s="85">
        <f>H86*0.94287+$D$87*0.94287/0.05*(1-$C$8)-$C$10</f>
        <v>-9136214.0934149437</v>
      </c>
      <c r="W105" s="2"/>
      <c r="X105" s="2"/>
      <c r="Y105" s="2"/>
      <c r="Z105" s="2"/>
      <c r="AA105" s="2"/>
    </row>
    <row r="106" spans="2:27" hidden="1" x14ac:dyDescent="0.2">
      <c r="B106" s="166">
        <v>0.6</v>
      </c>
      <c r="C106" s="163" t="s">
        <v>183</v>
      </c>
      <c r="D106" s="163" t="s">
        <v>183</v>
      </c>
      <c r="E106" s="163" t="s">
        <v>183</v>
      </c>
      <c r="F106" s="163" t="s">
        <v>183</v>
      </c>
      <c r="G106" s="163" t="s">
        <v>183</v>
      </c>
      <c r="H106" s="163" t="s">
        <v>183</v>
      </c>
      <c r="I106" s="163" t="s">
        <v>183</v>
      </c>
      <c r="J106" s="2"/>
      <c r="K106" s="2"/>
      <c r="L106" s="2"/>
      <c r="M106" s="2"/>
      <c r="N106" s="2"/>
      <c r="O106" s="2"/>
      <c r="P106" s="2"/>
      <c r="Q106" s="2">
        <f t="shared" si="3"/>
        <v>-4087500</v>
      </c>
      <c r="R106" s="2">
        <f>D86*0.98544</f>
        <v>-549424.75018079998</v>
      </c>
      <c r="S106" s="2">
        <f>E86*0.97109</f>
        <v>-541097.51160533901</v>
      </c>
      <c r="T106" s="2">
        <f>F86*0.95694</f>
        <v>-623800.72613608511</v>
      </c>
      <c r="U106" s="2">
        <f>G86*0.94301</f>
        <v>-614472.14510787849</v>
      </c>
      <c r="V106" s="85">
        <f>H86*0.95694+$D$87*0.95694/0.05*(1-$C$8)-$C$10</f>
        <v>-9141977.382409554</v>
      </c>
      <c r="W106" s="2"/>
      <c r="X106" s="2"/>
      <c r="Y106" s="2"/>
      <c r="Z106" s="2"/>
      <c r="AA106" s="2"/>
    </row>
    <row r="107" spans="2:27" hidden="1" x14ac:dyDescent="0.2">
      <c r="B107" s="166">
        <v>0.65</v>
      </c>
      <c r="C107" s="167" t="s">
        <v>183</v>
      </c>
      <c r="D107" s="167" t="s">
        <v>183</v>
      </c>
      <c r="E107" s="167" t="s">
        <v>183</v>
      </c>
      <c r="F107" s="167" t="s">
        <v>183</v>
      </c>
      <c r="G107" s="167" t="s">
        <v>183</v>
      </c>
      <c r="H107" s="167" t="s">
        <v>183</v>
      </c>
      <c r="I107" s="167" t="s">
        <v>183</v>
      </c>
      <c r="J107" s="2"/>
      <c r="K107" s="2"/>
      <c r="L107" s="2"/>
      <c r="M107" s="2"/>
      <c r="N107" s="2"/>
      <c r="O107" s="2"/>
      <c r="P107" s="2"/>
      <c r="Q107" s="2">
        <f t="shared" si="3"/>
        <v>-4087500</v>
      </c>
      <c r="R107" s="2">
        <f>D86*0.99029</f>
        <v>-552128.83164529991</v>
      </c>
      <c r="S107" s="2">
        <f>E86*0.98068</f>
        <v>-546441.12047402805</v>
      </c>
      <c r="T107" s="2">
        <f>F86*0.97116</f>
        <v>-633070.32122632593</v>
      </c>
      <c r="U107" s="2">
        <f>G86*0.96173</f>
        <v>-626670.23267473292</v>
      </c>
      <c r="V107" s="85">
        <f>H86*0.97116+$D$87*0.97116/0.05*(1-$C$8)-$C$10</f>
        <v>-9147802.1137175392</v>
      </c>
      <c r="W107" s="2"/>
      <c r="X107" s="2"/>
      <c r="Y107" s="2"/>
      <c r="Z107" s="2"/>
      <c r="AA107" s="2"/>
    </row>
    <row r="108" spans="2:27" hidden="1" x14ac:dyDescent="0.2">
      <c r="B108" s="168">
        <v>0.7</v>
      </c>
      <c r="C108" s="163" t="s">
        <v>183</v>
      </c>
      <c r="D108" s="163" t="s">
        <v>183</v>
      </c>
      <c r="E108" s="163" t="s">
        <v>183</v>
      </c>
      <c r="F108" s="163" t="s">
        <v>183</v>
      </c>
      <c r="G108" s="163" t="s">
        <v>183</v>
      </c>
      <c r="H108" s="169" t="s">
        <v>183</v>
      </c>
      <c r="I108" s="163" t="s">
        <v>183</v>
      </c>
      <c r="J108" s="2"/>
      <c r="K108" s="2"/>
      <c r="L108" s="2"/>
      <c r="M108" s="2"/>
      <c r="N108" s="2"/>
      <c r="O108" s="2"/>
      <c r="P108" s="2"/>
      <c r="Q108" s="2">
        <f t="shared" si="3"/>
        <v>-4087500</v>
      </c>
      <c r="R108" s="2">
        <f>D86*0.99515</f>
        <v>-554838.4885354999</v>
      </c>
      <c r="S108" s="2">
        <f>E86*0.99031</f>
        <v>-551807.01759660104</v>
      </c>
      <c r="T108" s="2">
        <f>F86*0.98551</f>
        <v>-642424.65945030318</v>
      </c>
      <c r="U108" s="2">
        <f>G86*0.98072</f>
        <v>-639044.25419687864</v>
      </c>
      <c r="V108" s="85">
        <f>H86*0.98551+$D$87*0.98551/0.05*(1-$C$8)-$C$10</f>
        <v>-9153680.0950304493</v>
      </c>
      <c r="W108" s="2"/>
      <c r="X108" s="2"/>
      <c r="Y108" s="2"/>
      <c r="Z108" s="2"/>
      <c r="AA108" s="2"/>
    </row>
    <row r="109" spans="2:27" hidden="1" x14ac:dyDescent="0.2">
      <c r="B109" s="166">
        <v>0.75</v>
      </c>
      <c r="C109" s="167" t="s">
        <v>183</v>
      </c>
      <c r="D109" s="167" t="s">
        <v>183</v>
      </c>
      <c r="E109" s="167" t="s">
        <v>183</v>
      </c>
      <c r="F109" s="167" t="s">
        <v>183</v>
      </c>
      <c r="G109" s="167" t="s">
        <v>183</v>
      </c>
      <c r="H109" s="167" t="s">
        <v>183</v>
      </c>
      <c r="I109" s="167" t="s">
        <v>183</v>
      </c>
      <c r="J109" s="2"/>
      <c r="K109" s="2"/>
      <c r="L109" s="2"/>
      <c r="M109" s="2"/>
      <c r="N109" s="2"/>
      <c r="O109" s="2"/>
      <c r="P109" s="2"/>
      <c r="Q109" s="2">
        <f t="shared" si="3"/>
        <v>-4087500</v>
      </c>
      <c r="R109" s="2">
        <f>D86*1</f>
        <v>-557542.56999999995</v>
      </c>
      <c r="S109" s="2">
        <f>E86*1</f>
        <v>-557206.34710000001</v>
      </c>
      <c r="T109" s="2">
        <f>F86*1</f>
        <v>-651870.259510612</v>
      </c>
      <c r="U109" s="2">
        <f>G86*1</f>
        <v>-651607.24181915191</v>
      </c>
      <c r="V109" s="51">
        <f>H86*1+$D$87*1/0.05*(1-$C$8)-$C$10</f>
        <v>-9159615.4225025121</v>
      </c>
      <c r="W109" s="2"/>
      <c r="X109" s="2"/>
      <c r="Y109" s="2"/>
      <c r="Z109" s="2"/>
      <c r="AA109" s="2"/>
    </row>
    <row r="110" spans="2:27" hidden="1" x14ac:dyDescent="0.2">
      <c r="B110" s="166">
        <v>0.8</v>
      </c>
      <c r="C110" s="163" t="s">
        <v>183</v>
      </c>
      <c r="D110" s="163" t="s">
        <v>183</v>
      </c>
      <c r="E110" s="163" t="s">
        <v>183</v>
      </c>
      <c r="F110" s="163" t="s">
        <v>183</v>
      </c>
      <c r="G110" s="163" t="s">
        <v>183</v>
      </c>
      <c r="H110" s="163" t="s">
        <v>183</v>
      </c>
      <c r="I110" s="163" t="s">
        <v>183</v>
      </c>
      <c r="J110" s="2"/>
      <c r="K110" s="2"/>
      <c r="L110" s="2"/>
      <c r="M110" s="2"/>
      <c r="N110" s="2"/>
      <c r="O110" s="2"/>
      <c r="P110" s="2"/>
      <c r="Q110" s="2">
        <f t="shared" si="3"/>
        <v>-4087500</v>
      </c>
      <c r="R110" s="2">
        <f>D86*1.00485</f>
        <v>-560246.6514645</v>
      </c>
      <c r="S110" s="2">
        <f>E86*1.00973</f>
        <v>-562627.96485728305</v>
      </c>
      <c r="T110" s="2">
        <f>F86*1.01463</f>
        <v>-661407.12140725215</v>
      </c>
      <c r="U110" s="2">
        <f>G86*1.01956</f>
        <v>-664352.67946913454</v>
      </c>
      <c r="V110" s="85">
        <f>H86*1.01463+$D$87*1.01463/0.05*(1-$C$8)-$C$10</f>
        <v>-9165608.0961337239</v>
      </c>
      <c r="W110" s="2"/>
      <c r="X110" s="2"/>
      <c r="Y110" s="2"/>
      <c r="Z110" s="2"/>
      <c r="AA110" s="2"/>
    </row>
    <row r="111" spans="2:27" hidden="1" x14ac:dyDescent="0.2">
      <c r="B111" s="28" t="s">
        <v>199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>
        <f t="shared" si="3"/>
        <v>-4087500</v>
      </c>
      <c r="R111" s="2">
        <f>D86*1.00971</f>
        <v>-562956.30835469998</v>
      </c>
      <c r="S111" s="2">
        <f>E86*1.01951</f>
        <v>-568077.44293192099</v>
      </c>
      <c r="T111" s="2">
        <f>F86*1.02941</f>
        <v>-671041.76384281903</v>
      </c>
      <c r="U111" s="2">
        <f>G86*1.0394</f>
        <v>-677280.56714682654</v>
      </c>
      <c r="V111" s="86">
        <f>H86*1.02941+$D$87*1.02941/0.05*(1-$C$8)-$C$10</f>
        <v>-9171662.2120783105</v>
      </c>
      <c r="W111" s="2"/>
      <c r="X111" s="2"/>
      <c r="Y111" s="2"/>
      <c r="Z111" s="2"/>
      <c r="AA111" s="2"/>
    </row>
    <row r="112" spans="2:27" hidden="1" x14ac:dyDescent="0.2">
      <c r="B112" s="152" t="s">
        <v>200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>
        <f t="shared" si="3"/>
        <v>-4087500</v>
      </c>
      <c r="R112" s="2">
        <f>D86*0.98058</f>
        <v>-546715.09329059999</v>
      </c>
      <c r="S112" s="2">
        <f>E86*0.96154</f>
        <v>-535776.19099053403</v>
      </c>
      <c r="T112" s="2">
        <f>F86*0.94287</f>
        <v>-614628.91158477077</v>
      </c>
      <c r="U112" s="2">
        <f>G86*0.92456</f>
        <v>-602449.99149631511</v>
      </c>
      <c r="V112" s="85">
        <f>H86*0.92456+$D$87*0.92456/0.055*(1-$C$8)-$C$10</f>
        <v>-9149031.0886047855</v>
      </c>
      <c r="W112" s="2"/>
      <c r="X112" s="2"/>
      <c r="Y112" s="2"/>
      <c r="Z112" s="2"/>
      <c r="AA112" s="2"/>
    </row>
    <row r="113" spans="2:27" hidden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>
        <f t="shared" si="3"/>
        <v>-4087500</v>
      </c>
      <c r="R113" s="2">
        <f>D86*0.98544</f>
        <v>-549424.75018079998</v>
      </c>
      <c r="S113" s="2">
        <f>E86*0.97109</f>
        <v>-541097.51160533901</v>
      </c>
      <c r="T113" s="2">
        <f>F86*0.95694</f>
        <v>-623800.72613608511</v>
      </c>
      <c r="U113" s="2">
        <f>G86*0.94301</f>
        <v>-614472.14510787849</v>
      </c>
      <c r="V113" s="85">
        <f>H86*0.94301+$D$87*0.94301/0.055*(1-$C$8)-$C$10</f>
        <v>-9156993.9288582653</v>
      </c>
      <c r="W113" s="2"/>
      <c r="X113" s="2"/>
      <c r="Y113" s="2"/>
      <c r="Z113" s="2"/>
      <c r="AA113" s="2"/>
    </row>
    <row r="114" spans="2:27" hidden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>
        <f t="shared" si="3"/>
        <v>-4087500</v>
      </c>
      <c r="R114" s="2">
        <f>D86*0.99029</f>
        <v>-552128.83164529991</v>
      </c>
      <c r="S114" s="2">
        <f>E86*0.98068</f>
        <v>-546441.12047402805</v>
      </c>
      <c r="T114" s="2">
        <f>F86*0.97116</f>
        <v>-633070.32122632593</v>
      </c>
      <c r="U114" s="2">
        <f>G86*0.96173</f>
        <v>-626670.23267473292</v>
      </c>
      <c r="V114" s="85">
        <f>H86*0.96173+$D$87*0.96173/0.055*(1-$C$8)-$C$10</f>
        <v>-9165073.2984813098</v>
      </c>
      <c r="W114" s="2"/>
      <c r="X114" s="2"/>
      <c r="Y114" s="2"/>
      <c r="Z114" s="2"/>
      <c r="AA114" s="2"/>
    </row>
    <row r="115" spans="2:27" hidden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>
        <f t="shared" si="3"/>
        <v>-4087500</v>
      </c>
      <c r="R115" s="2">
        <f>D86*0.99515</f>
        <v>-554838.4885354999</v>
      </c>
      <c r="S115" s="2">
        <f>E86*0.99031</f>
        <v>-551807.01759660104</v>
      </c>
      <c r="T115" s="2">
        <f>F86*0.98551</f>
        <v>-642424.65945030318</v>
      </c>
      <c r="U115" s="2">
        <f>G86*0.98072</f>
        <v>-639044.25419687864</v>
      </c>
      <c r="V115" s="85">
        <f>H86*0.98072+$D$87*0.98072/0.055*(1-$C$8)-$C$10</f>
        <v>-9173269.1974739172</v>
      </c>
      <c r="W115" s="2"/>
      <c r="X115" s="2"/>
      <c r="Y115" s="2"/>
      <c r="Z115" s="2"/>
      <c r="AA115" s="2"/>
    </row>
    <row r="116" spans="2:27" hidden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>
        <f t="shared" si="3"/>
        <v>-4087500</v>
      </c>
      <c r="R116" s="2">
        <f>D86*1</f>
        <v>-557542.56999999995</v>
      </c>
      <c r="S116" s="2">
        <f>E86*1</f>
        <v>-557206.34710000001</v>
      </c>
      <c r="T116" s="2">
        <f>F86*1</f>
        <v>-651870.259510612</v>
      </c>
      <c r="U116" s="2">
        <f>G86*1</f>
        <v>-651607.24181915191</v>
      </c>
      <c r="V116" s="87">
        <f>H86*1+$D$87*1/0.055*(1-$C$8)-$C$10</f>
        <v>-9181590.257641241</v>
      </c>
      <c r="W116" s="2"/>
      <c r="X116" s="2"/>
      <c r="Y116" s="2"/>
      <c r="Z116" s="2"/>
      <c r="AA116" s="2"/>
    </row>
    <row r="117" spans="2:27" hidden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>
        <f t="shared" si="3"/>
        <v>-4087500</v>
      </c>
      <c r="R117" s="2">
        <f>D86*1.00485</f>
        <v>-560246.6514645</v>
      </c>
      <c r="S117" s="2">
        <f>E86*1.00973</f>
        <v>-562627.96485728305</v>
      </c>
      <c r="T117" s="2">
        <f>F86*1.01463</f>
        <v>-661407.12140725215</v>
      </c>
      <c r="U117" s="2">
        <f>G86*1.01956</f>
        <v>-664352.67946913454</v>
      </c>
      <c r="V117" s="85">
        <f>H86*1.01956+$D$87*1.01956/0.055*(1-$C$8)-$C$10</f>
        <v>-9190032.1630807035</v>
      </c>
      <c r="W117" s="2"/>
      <c r="X117" s="2"/>
      <c r="Y117" s="2"/>
      <c r="Z117" s="2"/>
      <c r="AA117" s="2"/>
    </row>
    <row r="118" spans="2:27" hidden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>
        <f t="shared" si="3"/>
        <v>-4087500</v>
      </c>
      <c r="R118" s="2">
        <f>D86*1.00971</f>
        <v>-562956.30835469998</v>
      </c>
      <c r="S118" s="2">
        <f>E86*1.01951</f>
        <v>-568077.44293192099</v>
      </c>
      <c r="T118" s="2">
        <f>F86*1.02941</f>
        <v>-671041.76384281903</v>
      </c>
      <c r="U118" s="2">
        <f>G86*1.0394</f>
        <v>-677280.56714682654</v>
      </c>
      <c r="V118" s="86">
        <f>H86*1.0394+$D$87*1.0394/0.055*(1-$C$8)-$C$10</f>
        <v>-9198594.9137923047</v>
      </c>
      <c r="W118" s="2"/>
      <c r="X118" s="2"/>
      <c r="Y118" s="2"/>
      <c r="Z118" s="2"/>
      <c r="AA118" s="2"/>
    </row>
    <row r="119" spans="2:27" hidden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>
        <f t="shared" si="3"/>
        <v>-4087500</v>
      </c>
      <c r="R119" s="2">
        <f>D86*0.98058</f>
        <v>-546715.09329059999</v>
      </c>
      <c r="S119" s="2">
        <f>E86*0.96154</f>
        <v>-535776.19099053403</v>
      </c>
      <c r="T119" s="2">
        <f>F86*0.94287</f>
        <v>-614628.91158477077</v>
      </c>
      <c r="U119" s="2">
        <f>G86*0.92456</f>
        <v>-602449.99149631511</v>
      </c>
      <c r="V119" s="85">
        <f>H86*0.90661+$D$87*0.90661/0.06*(1-$C$8)-$C$10</f>
        <v>-9157886.2145510614</v>
      </c>
      <c r="W119" s="2"/>
      <c r="X119" s="2"/>
      <c r="Y119" s="2"/>
      <c r="Z119" s="2"/>
      <c r="AA119" s="2"/>
    </row>
    <row r="120" spans="2:27" hidden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>
        <f t="shared" si="3"/>
        <v>-4087500</v>
      </c>
      <c r="R120" s="2">
        <f>D86*0.98544</f>
        <v>-549424.75018079998</v>
      </c>
      <c r="S120" s="2">
        <f>E86*0.97109</f>
        <v>-541097.51160533901</v>
      </c>
      <c r="T120" s="2">
        <f>F86*0.95694</f>
        <v>-623800.72613608511</v>
      </c>
      <c r="U120" s="2">
        <f>G86*0.94301</f>
        <v>-614472.14510787849</v>
      </c>
      <c r="V120" s="85">
        <f>H86*0.92927+$D$87*0.92927/0.06*(1-$C$8)-$C$10</f>
        <v>-9168081.0079260804</v>
      </c>
      <c r="W120" s="2"/>
      <c r="X120" s="2"/>
      <c r="Y120" s="2"/>
      <c r="Z120" s="2"/>
      <c r="AA120" s="2"/>
    </row>
    <row r="121" spans="2:27" hidden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>
        <f t="shared" si="3"/>
        <v>-4087500</v>
      </c>
      <c r="R121" s="2">
        <f>D86*0.99029</f>
        <v>-552128.83164529991</v>
      </c>
      <c r="S121" s="2">
        <f>E86*0.98068</f>
        <v>-546441.12047402805</v>
      </c>
      <c r="T121" s="2">
        <f>F86*0.97116</f>
        <v>-633070.32122632593</v>
      </c>
      <c r="U121" s="2">
        <f>G86*0.96173</f>
        <v>-626670.23267473292</v>
      </c>
      <c r="V121" s="85">
        <f>H86*0.95239+$D$87*0.95239/0.06*(1-$C$8)-$C$10</f>
        <v>-9178482.7565064188</v>
      </c>
      <c r="W121" s="2"/>
      <c r="X121" s="2"/>
      <c r="Y121" s="2"/>
      <c r="Z121" s="2"/>
      <c r="AA121" s="2"/>
    </row>
    <row r="122" spans="2:27" hidden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>
        <f t="shared" si="3"/>
        <v>-4087500</v>
      </c>
      <c r="R122" s="2">
        <f>D86*0.99515</f>
        <v>-554838.4885354999</v>
      </c>
      <c r="S122" s="2">
        <f>E86*0.99031</f>
        <v>-551807.01759660104</v>
      </c>
      <c r="T122" s="2">
        <f>F86*0.98551</f>
        <v>-642424.65945030318</v>
      </c>
      <c r="U122" s="2">
        <f>G86*0.98072</f>
        <v>-639044.25419687864</v>
      </c>
      <c r="V122" s="85">
        <f>H86*0.97596+$D$87*0.97596/0.06*(1-$C$8)-$C$10</f>
        <v>-9189086.9612658732</v>
      </c>
      <c r="W122" s="2"/>
      <c r="X122" s="2"/>
      <c r="Y122" s="2"/>
      <c r="Z122" s="2"/>
      <c r="AA122" s="2"/>
    </row>
    <row r="123" spans="2:27" hidden="1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>
        <f t="shared" ref="Q123:Q139" si="4">-$C$9</f>
        <v>-4087500</v>
      </c>
      <c r="R123" s="2">
        <f>D86*1</f>
        <v>-557542.56999999995</v>
      </c>
      <c r="S123" s="2">
        <f>E86*1</f>
        <v>-557206.34710000001</v>
      </c>
      <c r="T123" s="2">
        <f>F86*1</f>
        <v>-651870.259510612</v>
      </c>
      <c r="U123" s="2">
        <f>G86*1</f>
        <v>-651607.24181915191</v>
      </c>
      <c r="V123" s="51">
        <f>H86*1+$D$87*1/0.06*(1-$C$8)-$C$10</f>
        <v>-9199902.6202568486</v>
      </c>
      <c r="W123" s="2"/>
      <c r="X123" s="2"/>
      <c r="Y123" s="2"/>
      <c r="Z123" s="2"/>
      <c r="AA123" s="2"/>
    </row>
    <row r="124" spans="2:27" hidden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>
        <f t="shared" si="4"/>
        <v>-4087500</v>
      </c>
      <c r="R124" s="2">
        <f>D86*1.00485</f>
        <v>-560246.6514645</v>
      </c>
      <c r="S124" s="2">
        <f>E86*1.00973</f>
        <v>-562627.96485728305</v>
      </c>
      <c r="T124" s="2">
        <f>F86*1.01463</f>
        <v>-661407.12140725215</v>
      </c>
      <c r="U124" s="2">
        <f>G86*1.01956</f>
        <v>-664352.67946913454</v>
      </c>
      <c r="V124" s="85">
        <f>H86*1.02451+$D$87*1.02451/0.06*(1-$C$8)-$C$10</f>
        <v>-9210929.7334793434</v>
      </c>
      <c r="W124" s="2"/>
      <c r="X124" s="2"/>
      <c r="Y124" s="2"/>
      <c r="Z124" s="2"/>
      <c r="AA124" s="2"/>
    </row>
    <row r="125" spans="2:27" hidden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>
        <f t="shared" si="4"/>
        <v>-4087500</v>
      </c>
      <c r="R125" s="2">
        <f>D86*1.00971</f>
        <v>-562956.30835469998</v>
      </c>
      <c r="S125" s="2">
        <f>E86*1.01951</f>
        <v>-568077.44293192099</v>
      </c>
      <c r="T125" s="2">
        <f>F86*1.02941</f>
        <v>-671041.76384281903</v>
      </c>
      <c r="U125" s="2">
        <f>G86*1.0394</f>
        <v>-677280.56714682654</v>
      </c>
      <c r="V125" s="86">
        <f>H86*1.0495+$D$87*1.0495/0.06*(1-$C$8)-$C$10</f>
        <v>-9222172.7999595627</v>
      </c>
      <c r="W125" s="2"/>
      <c r="X125" s="2"/>
      <c r="Y125" s="2"/>
      <c r="Z125" s="2"/>
      <c r="AA125" s="2"/>
    </row>
    <row r="126" spans="2:27" hidden="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>
        <f t="shared" si="4"/>
        <v>-4087500</v>
      </c>
      <c r="R126" s="2">
        <f>D86*0.98058</f>
        <v>-546715.09329059999</v>
      </c>
      <c r="S126" s="2">
        <f>E86*0.96154</f>
        <v>-535776.19099053403</v>
      </c>
      <c r="T126" s="2">
        <f>F86*0.94287</f>
        <v>-614628.91158477077</v>
      </c>
      <c r="U126" s="2">
        <f>G86*0.92456</f>
        <v>-602449.99149631511</v>
      </c>
      <c r="V126" s="85">
        <f>H86*1+$D$87*1/0.065*(1-$C$8)-$C$10</f>
        <v>-9215397.6963162087</v>
      </c>
      <c r="W126" s="2"/>
      <c r="X126" s="2"/>
      <c r="Y126" s="2"/>
      <c r="Z126" s="2"/>
      <c r="AA126" s="2"/>
    </row>
    <row r="127" spans="2:27" hidden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>
        <f t="shared" si="4"/>
        <v>-4087500</v>
      </c>
      <c r="R127" s="2">
        <f>D86*0.98544</f>
        <v>-549424.75018079998</v>
      </c>
      <c r="S127" s="2">
        <f>E86*0.97109</f>
        <v>-541097.51160533901</v>
      </c>
      <c r="T127" s="2">
        <f>F86*0.95694</f>
        <v>-623800.72613608511</v>
      </c>
      <c r="U127" s="2">
        <f>G86*0.94301</f>
        <v>-614472.14510787849</v>
      </c>
      <c r="V127" s="85">
        <f>H86*1+$D$87*1/0.065*(1-$C$8)-$C$10</f>
        <v>-9215397.6963162087</v>
      </c>
      <c r="W127" s="2"/>
      <c r="X127" s="2"/>
      <c r="Y127" s="2"/>
      <c r="Z127" s="2"/>
      <c r="AA127" s="2"/>
    </row>
    <row r="128" spans="2:27" hidden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>
        <f t="shared" si="4"/>
        <v>-4087500</v>
      </c>
      <c r="R128" s="2">
        <f>D86*0.99029</f>
        <v>-552128.83164529991</v>
      </c>
      <c r="S128" s="2">
        <f>E86*0.98068</f>
        <v>-546441.12047402805</v>
      </c>
      <c r="T128" s="2">
        <f>F86*0.97116</f>
        <v>-633070.32122632593</v>
      </c>
      <c r="U128" s="2">
        <f>G86*0.96173</f>
        <v>-626670.23267473292</v>
      </c>
      <c r="V128" s="85">
        <f>H86*1+$D$87*1/0.065*(1-$C$8)-$C$10</f>
        <v>-9215397.6963162087</v>
      </c>
      <c r="W128" s="2"/>
      <c r="X128" s="2"/>
      <c r="Y128" s="2"/>
      <c r="Z128" s="2"/>
      <c r="AA128" s="2"/>
    </row>
    <row r="129" spans="2:27" hidden="1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>
        <f t="shared" si="4"/>
        <v>-4087500</v>
      </c>
      <c r="R129" s="2">
        <f>D86*0.99515</f>
        <v>-554838.4885354999</v>
      </c>
      <c r="S129" s="2">
        <f>E86*0.99031</f>
        <v>-551807.01759660104</v>
      </c>
      <c r="T129" s="2">
        <f>F86*0.98551</f>
        <v>-642424.65945030318</v>
      </c>
      <c r="U129" s="2">
        <f>G86*0.98072</f>
        <v>-639044.25419687864</v>
      </c>
      <c r="V129" s="85">
        <f>H86*1+$D$87*1/0.065*(1-$C$8)-$C$10</f>
        <v>-9215397.6963162087</v>
      </c>
      <c r="W129" s="2"/>
      <c r="X129" s="2"/>
      <c r="Y129" s="2"/>
      <c r="Z129" s="2"/>
      <c r="AA129" s="2"/>
    </row>
    <row r="130" spans="2:27" hidden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>
        <f t="shared" si="4"/>
        <v>-4087500</v>
      </c>
      <c r="R130" s="2">
        <f>D86*1</f>
        <v>-557542.56999999995</v>
      </c>
      <c r="S130" s="2">
        <f>E86*1</f>
        <v>-557206.34710000001</v>
      </c>
      <c r="T130" s="2">
        <f>F86*1</f>
        <v>-651870.259510612</v>
      </c>
      <c r="U130" s="2">
        <f>G86*1</f>
        <v>-651607.24181915191</v>
      </c>
      <c r="V130" s="87">
        <f>H86*1+$D$87*1/0.065*(1-$C$8)-$C$10</f>
        <v>-9215397.6963162087</v>
      </c>
      <c r="W130" s="2"/>
      <c r="X130" s="2"/>
      <c r="Y130" s="2"/>
      <c r="Z130" s="2"/>
      <c r="AA130" s="2"/>
    </row>
    <row r="131" spans="2:27" hidden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>
        <f t="shared" si="4"/>
        <v>-4087500</v>
      </c>
      <c r="R131" s="2">
        <f>D86*1.00485</f>
        <v>-560246.6514645</v>
      </c>
      <c r="S131" s="2">
        <f>E86*1.00973</f>
        <v>-562627.96485728305</v>
      </c>
      <c r="T131" s="2">
        <f>F86*1.01463</f>
        <v>-661407.12140725215</v>
      </c>
      <c r="U131" s="2">
        <f>G86*1.01956</f>
        <v>-664352.67946913454</v>
      </c>
      <c r="V131" s="85">
        <f>H86*1+$D$87*1/0.065*(1-$C$8)-$C$10</f>
        <v>-9215397.6963162087</v>
      </c>
      <c r="W131" s="2"/>
      <c r="X131" s="2"/>
      <c r="Y131" s="2"/>
      <c r="Z131" s="2"/>
      <c r="AA131" s="2"/>
    </row>
    <row r="132" spans="2:27" hidden="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>
        <f t="shared" si="4"/>
        <v>-4087500</v>
      </c>
      <c r="R132" s="2">
        <f>D86*1.00971</f>
        <v>-562956.30835469998</v>
      </c>
      <c r="S132" s="2">
        <f>E86*1.01951</f>
        <v>-568077.44293192099</v>
      </c>
      <c r="T132" s="2">
        <f>F86*1.02941</f>
        <v>-671041.76384281903</v>
      </c>
      <c r="U132" s="2">
        <f>G86*1.0394</f>
        <v>-677280.56714682654</v>
      </c>
      <c r="V132" s="86">
        <f>H86*1+$D$87*1/0.065*(1-$C$8)-$C$10</f>
        <v>-9215397.6963162087</v>
      </c>
      <c r="W132" s="2"/>
      <c r="X132" s="2"/>
      <c r="Y132" s="2"/>
      <c r="Z132" s="2"/>
      <c r="AA132" s="2"/>
    </row>
    <row r="133" spans="2:27" hidden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>
        <f t="shared" si="4"/>
        <v>-4087500</v>
      </c>
      <c r="R133" s="2">
        <f>D86*0.98058</f>
        <v>-546715.09329059999</v>
      </c>
      <c r="S133" s="2">
        <f>E86*0.96154</f>
        <v>-535776.19099053403</v>
      </c>
      <c r="T133" s="2">
        <f>F86*0.94287</f>
        <v>-614628.91158477077</v>
      </c>
      <c r="U133" s="2">
        <f>G86*0.92456</f>
        <v>-602449.99149631511</v>
      </c>
      <c r="V133" s="85">
        <f>H86*1+$D$87*1/0.07*(1-$C$8)-$C$10</f>
        <v>-9228679.1900813729</v>
      </c>
      <c r="W133" s="2"/>
      <c r="X133" s="2"/>
      <c r="Y133" s="2"/>
      <c r="Z133" s="2"/>
      <c r="AA133" s="2"/>
    </row>
    <row r="134" spans="2:27" hidden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>
        <f t="shared" si="4"/>
        <v>-4087500</v>
      </c>
      <c r="R134" s="2">
        <f>D86*0.98544</f>
        <v>-549424.75018079998</v>
      </c>
      <c r="S134" s="2">
        <f>E86*0.97109</f>
        <v>-541097.51160533901</v>
      </c>
      <c r="T134" s="2">
        <f>F86*0.95694</f>
        <v>-623800.72613608511</v>
      </c>
      <c r="U134" s="2">
        <f>G86*0.94301</f>
        <v>-614472.14510787849</v>
      </c>
      <c r="V134" s="85">
        <f>H86*1+$D$87*1/0.07*(1-$C$8)-$C$10</f>
        <v>-9228679.1900813729</v>
      </c>
      <c r="W134" s="2"/>
      <c r="X134" s="2"/>
      <c r="Y134" s="2"/>
      <c r="Z134" s="2"/>
      <c r="AA134" s="2"/>
    </row>
    <row r="135" spans="2:27" hidden="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>
        <f t="shared" si="4"/>
        <v>-4087500</v>
      </c>
      <c r="R135" s="2">
        <f>D86*0.99029</f>
        <v>-552128.83164529991</v>
      </c>
      <c r="S135" s="2">
        <f>E86*0.98068</f>
        <v>-546441.12047402805</v>
      </c>
      <c r="T135" s="2">
        <f>F86*0.97116</f>
        <v>-633070.32122632593</v>
      </c>
      <c r="U135" s="2">
        <f>G86*0.96173</f>
        <v>-626670.23267473292</v>
      </c>
      <c r="V135" s="85">
        <f>H86*1+$D$87*1/0.07*(1-$C$8)-$C$10</f>
        <v>-9228679.1900813729</v>
      </c>
      <c r="W135" s="2"/>
      <c r="X135" s="2"/>
      <c r="Y135" s="2"/>
      <c r="Z135" s="2"/>
      <c r="AA135" s="2"/>
    </row>
    <row r="136" spans="2:27" hidden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>
        <f t="shared" si="4"/>
        <v>-4087500</v>
      </c>
      <c r="R136" s="2">
        <f>D86*0.99515</f>
        <v>-554838.4885354999</v>
      </c>
      <c r="S136" s="2">
        <f>E86*0.99031</f>
        <v>-551807.01759660104</v>
      </c>
      <c r="T136" s="2">
        <f>F86*0.98551</f>
        <v>-642424.65945030318</v>
      </c>
      <c r="U136" s="2">
        <f>G86*0.98072</f>
        <v>-639044.25419687864</v>
      </c>
      <c r="V136" s="85">
        <f>H86*1+$D$87*1/0.07*(1-$C$8)-$C$10</f>
        <v>-9228679.1900813729</v>
      </c>
      <c r="W136" s="2"/>
      <c r="X136" s="2"/>
      <c r="Y136" s="2"/>
      <c r="Z136" s="2"/>
      <c r="AA136" s="2"/>
    </row>
    <row r="137" spans="2:27" hidden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>
        <f t="shared" si="4"/>
        <v>-4087500</v>
      </c>
      <c r="R137" s="2">
        <f>D86*1</f>
        <v>-557542.56999999995</v>
      </c>
      <c r="S137" s="2">
        <f>E86*1</f>
        <v>-557206.34710000001</v>
      </c>
      <c r="T137" s="2">
        <f>F86*1</f>
        <v>-651870.259510612</v>
      </c>
      <c r="U137" s="2">
        <f>G86*1</f>
        <v>-651607.24181915191</v>
      </c>
      <c r="V137" s="51">
        <f>H86*1+$D$87*1/0.07*(1-$C$8)-$C$10</f>
        <v>-9228679.1900813729</v>
      </c>
      <c r="W137" s="2"/>
      <c r="X137" s="2"/>
      <c r="Y137" s="2"/>
      <c r="Z137" s="2"/>
      <c r="AA137" s="2"/>
    </row>
    <row r="138" spans="2:27" hidden="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>
        <f t="shared" si="4"/>
        <v>-4087500</v>
      </c>
      <c r="R138" s="2">
        <f>D86*1.00485</f>
        <v>-560246.6514645</v>
      </c>
      <c r="S138" s="2">
        <f>E86*1.00973</f>
        <v>-562627.96485728305</v>
      </c>
      <c r="T138" s="2">
        <f>F86*1.01463</f>
        <v>-661407.12140725215</v>
      </c>
      <c r="U138" s="2">
        <f>G86*1.01956</f>
        <v>-664352.67946913454</v>
      </c>
      <c r="V138" s="85">
        <f>H86*1+$D$87*1/0.07*(1-$C$8)-$C$10</f>
        <v>-9228679.1900813729</v>
      </c>
      <c r="W138" s="2"/>
      <c r="X138" s="2"/>
      <c r="Y138" s="2"/>
      <c r="Z138" s="2"/>
      <c r="AA138" s="2"/>
    </row>
    <row r="139" spans="2:27" hidden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>
        <f t="shared" si="4"/>
        <v>-4087500</v>
      </c>
      <c r="R139" s="2">
        <f>D86*1.00971</f>
        <v>-562956.30835469998</v>
      </c>
      <c r="S139" s="2">
        <f>E86*1.01951</f>
        <v>-568077.44293192099</v>
      </c>
      <c r="T139" s="2">
        <f>F86*1.02941</f>
        <v>-671041.76384281903</v>
      </c>
      <c r="U139" s="2">
        <f>G86*1.0394</f>
        <v>-677280.56714682654</v>
      </c>
      <c r="V139" s="86">
        <f>H86*1+$D$87*1/0.07*(1-$C$8)-$C$10</f>
        <v>-9228679.1900813729</v>
      </c>
      <c r="W139" s="2"/>
      <c r="X139" s="2"/>
      <c r="Y139" s="2"/>
      <c r="Z139" s="2"/>
      <c r="AA139" s="2"/>
    </row>
    <row r="140" spans="2:27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</sheetData>
  <conditionalFormatting sqref="C77:I83">
    <cfRule type="colorScale" priority="1">
      <colorScale>
        <cfvo type="min"/>
        <cfvo type="percentile" val="50"/>
        <cfvo type="max"/>
        <color rgb="FFF4CCCC"/>
        <color rgb="FFFFFDE7"/>
        <color rgb="FFC6EFCE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BE37-BEC7-2149-8E02-3C7EBA12DBCE}">
  <dimension ref="B2:AA201"/>
  <sheetViews>
    <sheetView workbookViewId="0">
      <selection activeCell="R20" sqref="R20"/>
    </sheetView>
  </sheetViews>
  <sheetFormatPr baseColWidth="10" defaultRowHeight="16" x14ac:dyDescent="0.2"/>
  <cols>
    <col min="1" max="1" width="4" customWidth="1"/>
    <col min="2" max="3" width="11.6640625" customWidth="1"/>
    <col min="4" max="4" width="15" customWidth="1"/>
    <col min="5" max="9" width="19.1640625" customWidth="1"/>
  </cols>
  <sheetData>
    <row r="2" spans="2:27" ht="21" x14ac:dyDescent="0.25">
      <c r="B2" s="27" t="s">
        <v>50</v>
      </c>
      <c r="C2" s="4"/>
      <c r="D2" s="4"/>
      <c r="E2" s="4"/>
      <c r="F2" s="4"/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7" x14ac:dyDescent="0.2">
      <c r="B3" s="4"/>
      <c r="C3" s="4"/>
      <c r="D3" s="4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22" customHeight="1" x14ac:dyDescent="0.2">
      <c r="B4" s="7" t="s">
        <v>51</v>
      </c>
      <c r="C4" s="7"/>
      <c r="D4" s="7"/>
      <c r="E4" s="7"/>
      <c r="F4" s="7"/>
      <c r="G4" s="7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8" customHeight="1" x14ac:dyDescent="0.2">
      <c r="B5" s="99" t="s">
        <v>7</v>
      </c>
      <c r="C5" s="37">
        <f>Assumptions!C53</f>
        <v>8750000</v>
      </c>
      <c r="D5" s="32"/>
      <c r="E5" s="32"/>
      <c r="F5" s="32"/>
      <c r="G5" s="32"/>
      <c r="H5" s="32"/>
      <c r="I5" s="3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8" customHeight="1" x14ac:dyDescent="0.2">
      <c r="B6" s="12" t="s">
        <v>52</v>
      </c>
      <c r="C6" s="34">
        <f>Assumptions!C54</f>
        <v>6.5000000000000002E-2</v>
      </c>
      <c r="D6" s="4"/>
      <c r="E6" s="4"/>
      <c r="F6" s="4"/>
      <c r="G6" s="4"/>
      <c r="H6" s="4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8" customHeight="1" x14ac:dyDescent="0.2">
      <c r="B7" s="99" t="s">
        <v>8</v>
      </c>
      <c r="C7" s="31">
        <f>Assumptions!C55</f>
        <v>24</v>
      </c>
      <c r="D7" s="32"/>
      <c r="E7" s="32"/>
      <c r="F7" s="32"/>
      <c r="G7" s="32"/>
      <c r="H7" s="32"/>
      <c r="I7" s="3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8" customHeight="1" x14ac:dyDescent="0.2">
      <c r="B8" s="12" t="s">
        <v>9</v>
      </c>
      <c r="C8" s="119">
        <f>Assumptions!C56</f>
        <v>30</v>
      </c>
      <c r="D8" s="4"/>
      <c r="E8" s="4"/>
      <c r="F8" s="4"/>
      <c r="G8" s="4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8" customHeight="1" x14ac:dyDescent="0.2">
      <c r="B9" s="99" t="s">
        <v>53</v>
      </c>
      <c r="C9" s="126">
        <f>C6/12</f>
        <v>5.4166666666666669E-3</v>
      </c>
      <c r="D9" s="32"/>
      <c r="E9" s="32"/>
      <c r="F9" s="32"/>
      <c r="G9" s="32"/>
      <c r="H9" s="32"/>
      <c r="I9" s="3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8" customHeight="1" x14ac:dyDescent="0.2">
      <c r="B10" s="12" t="s">
        <v>54</v>
      </c>
      <c r="C10" s="124">
        <f>-PMT(C6/12,C8*12,C5)</f>
        <v>55305.952055634327</v>
      </c>
      <c r="D10" s="4"/>
      <c r="E10" s="4"/>
      <c r="F10" s="4"/>
      <c r="G10" s="4"/>
      <c r="H10" s="4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x14ac:dyDescent="0.2">
      <c r="B11" s="4"/>
      <c r="C11" s="4"/>
      <c r="D11" s="4"/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22" customHeight="1" x14ac:dyDescent="0.2">
      <c r="B12" s="8" t="s">
        <v>55</v>
      </c>
      <c r="C12" s="8" t="s">
        <v>56</v>
      </c>
      <c r="D12" s="8" t="s">
        <v>57</v>
      </c>
      <c r="E12" s="8" t="s">
        <v>58</v>
      </c>
      <c r="F12" s="8" t="s">
        <v>59</v>
      </c>
      <c r="G12" s="8" t="s">
        <v>60</v>
      </c>
      <c r="H12" s="8" t="s">
        <v>61</v>
      </c>
      <c r="I12" s="8" t="s">
        <v>62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" customHeight="1" x14ac:dyDescent="0.2">
      <c r="B13" s="128">
        <v>1</v>
      </c>
      <c r="C13" s="128">
        <f>CEILING(B13/12,1)</f>
        <v>1</v>
      </c>
      <c r="D13" s="128" t="str">
        <f>IF(B13&lt;=$C$7,"IO","Amort")</f>
        <v>IO</v>
      </c>
      <c r="E13" s="129">
        <f>$C$5</f>
        <v>8750000</v>
      </c>
      <c r="F13" s="129">
        <f>IF(D13="IO",E13*$C$9,$C$10)</f>
        <v>47395.833333333336</v>
      </c>
      <c r="G13" s="129">
        <f>E13*$C$9</f>
        <v>47395.833333333336</v>
      </c>
      <c r="H13" s="129">
        <f>F13-G13</f>
        <v>0</v>
      </c>
      <c r="I13" s="129">
        <f>E13-H13</f>
        <v>8750000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" customHeight="1" x14ac:dyDescent="0.2">
      <c r="B14" s="128">
        <f>B13+1</f>
        <v>2</v>
      </c>
      <c r="C14" s="128">
        <f>CEILING(B14/12,1)</f>
        <v>1</v>
      </c>
      <c r="D14" s="128" t="str">
        <f>IF(B14&lt;=$C$7,"IO","Amort")</f>
        <v>IO</v>
      </c>
      <c r="E14" s="129">
        <f>I13</f>
        <v>8750000</v>
      </c>
      <c r="F14" s="129">
        <f>IF(D14="IO",E14*$C$9,$C$10)</f>
        <v>47395.833333333336</v>
      </c>
      <c r="G14" s="129">
        <f>E14*$C$9</f>
        <v>47395.833333333336</v>
      </c>
      <c r="H14" s="129">
        <f>F14-G14</f>
        <v>0</v>
      </c>
      <c r="I14" s="129">
        <f>E14-H14</f>
        <v>8750000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" customHeight="1" x14ac:dyDescent="0.2">
      <c r="B15" s="128">
        <f t="shared" ref="B15:B78" si="0">B14+1</f>
        <v>3</v>
      </c>
      <c r="C15" s="128">
        <f t="shared" ref="C15:C78" si="1">CEILING(B15/12,1)</f>
        <v>1</v>
      </c>
      <c r="D15" s="128" t="str">
        <f t="shared" ref="D15:D78" si="2">IF(B15&lt;=$C$7,"IO","Amort")</f>
        <v>IO</v>
      </c>
      <c r="E15" s="129">
        <f t="shared" ref="E15:E78" si="3">I14</f>
        <v>8750000</v>
      </c>
      <c r="F15" s="129">
        <f t="shared" ref="F15:F78" si="4">IF(D15="IO",E15*$C$9,$C$10)</f>
        <v>47395.833333333336</v>
      </c>
      <c r="G15" s="129">
        <f t="shared" ref="G15:G78" si="5">E15*$C$9</f>
        <v>47395.833333333336</v>
      </c>
      <c r="H15" s="129">
        <f t="shared" ref="H15:H78" si="6">F15-G15</f>
        <v>0</v>
      </c>
      <c r="I15" s="129">
        <f t="shared" ref="I15:I78" si="7">E15-H15</f>
        <v>8750000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6" customHeight="1" x14ac:dyDescent="0.2">
      <c r="B16" s="128">
        <f t="shared" si="0"/>
        <v>4</v>
      </c>
      <c r="C16" s="128">
        <f t="shared" si="1"/>
        <v>1</v>
      </c>
      <c r="D16" s="128" t="str">
        <f t="shared" si="2"/>
        <v>IO</v>
      </c>
      <c r="E16" s="129">
        <f t="shared" si="3"/>
        <v>8750000</v>
      </c>
      <c r="F16" s="129">
        <f t="shared" si="4"/>
        <v>47395.833333333336</v>
      </c>
      <c r="G16" s="129">
        <f t="shared" si="5"/>
        <v>47395.833333333336</v>
      </c>
      <c r="H16" s="129">
        <f t="shared" si="6"/>
        <v>0</v>
      </c>
      <c r="I16" s="129">
        <f t="shared" si="7"/>
        <v>8750000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" customHeight="1" x14ac:dyDescent="0.2">
      <c r="B17" s="128">
        <f t="shared" si="0"/>
        <v>5</v>
      </c>
      <c r="C17" s="128">
        <f t="shared" si="1"/>
        <v>1</v>
      </c>
      <c r="D17" s="128" t="str">
        <f t="shared" si="2"/>
        <v>IO</v>
      </c>
      <c r="E17" s="129">
        <f t="shared" si="3"/>
        <v>8750000</v>
      </c>
      <c r="F17" s="129">
        <f t="shared" si="4"/>
        <v>47395.833333333336</v>
      </c>
      <c r="G17" s="129">
        <f t="shared" si="5"/>
        <v>47395.833333333336</v>
      </c>
      <c r="H17" s="129">
        <f t="shared" si="6"/>
        <v>0</v>
      </c>
      <c r="I17" s="129">
        <f t="shared" si="7"/>
        <v>8750000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" customHeight="1" x14ac:dyDescent="0.2">
      <c r="B18" s="128">
        <f t="shared" si="0"/>
        <v>6</v>
      </c>
      <c r="C18" s="128">
        <f t="shared" si="1"/>
        <v>1</v>
      </c>
      <c r="D18" s="128" t="str">
        <f t="shared" si="2"/>
        <v>IO</v>
      </c>
      <c r="E18" s="129">
        <f t="shared" si="3"/>
        <v>8750000</v>
      </c>
      <c r="F18" s="129">
        <f t="shared" si="4"/>
        <v>47395.833333333336</v>
      </c>
      <c r="G18" s="129">
        <f t="shared" si="5"/>
        <v>47395.833333333336</v>
      </c>
      <c r="H18" s="129">
        <f t="shared" si="6"/>
        <v>0</v>
      </c>
      <c r="I18" s="129">
        <f t="shared" si="7"/>
        <v>8750000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" customHeight="1" x14ac:dyDescent="0.2">
      <c r="B19" s="128">
        <f t="shared" si="0"/>
        <v>7</v>
      </c>
      <c r="C19" s="128">
        <f t="shared" si="1"/>
        <v>1</v>
      </c>
      <c r="D19" s="128" t="str">
        <f t="shared" si="2"/>
        <v>IO</v>
      </c>
      <c r="E19" s="129">
        <f t="shared" si="3"/>
        <v>8750000</v>
      </c>
      <c r="F19" s="129">
        <f t="shared" si="4"/>
        <v>47395.833333333336</v>
      </c>
      <c r="G19" s="129">
        <f t="shared" si="5"/>
        <v>47395.833333333336</v>
      </c>
      <c r="H19" s="129">
        <f t="shared" si="6"/>
        <v>0</v>
      </c>
      <c r="I19" s="129">
        <f t="shared" si="7"/>
        <v>8750000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" customHeight="1" x14ac:dyDescent="0.2">
      <c r="B20" s="128">
        <f t="shared" si="0"/>
        <v>8</v>
      </c>
      <c r="C20" s="128">
        <f t="shared" si="1"/>
        <v>1</v>
      </c>
      <c r="D20" s="128" t="str">
        <f t="shared" si="2"/>
        <v>IO</v>
      </c>
      <c r="E20" s="129">
        <f t="shared" si="3"/>
        <v>8750000</v>
      </c>
      <c r="F20" s="129">
        <f t="shared" si="4"/>
        <v>47395.833333333336</v>
      </c>
      <c r="G20" s="129">
        <f t="shared" si="5"/>
        <v>47395.833333333336</v>
      </c>
      <c r="H20" s="129">
        <f t="shared" si="6"/>
        <v>0</v>
      </c>
      <c r="I20" s="129">
        <f t="shared" si="7"/>
        <v>8750000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" customHeight="1" x14ac:dyDescent="0.2">
      <c r="B21" s="128">
        <f t="shared" si="0"/>
        <v>9</v>
      </c>
      <c r="C21" s="128">
        <f t="shared" si="1"/>
        <v>1</v>
      </c>
      <c r="D21" s="128" t="str">
        <f t="shared" si="2"/>
        <v>IO</v>
      </c>
      <c r="E21" s="129">
        <f t="shared" si="3"/>
        <v>8750000</v>
      </c>
      <c r="F21" s="129">
        <f t="shared" si="4"/>
        <v>47395.833333333336</v>
      </c>
      <c r="G21" s="129">
        <f t="shared" si="5"/>
        <v>47395.833333333336</v>
      </c>
      <c r="H21" s="129">
        <f t="shared" si="6"/>
        <v>0</v>
      </c>
      <c r="I21" s="129">
        <f t="shared" si="7"/>
        <v>8750000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" customHeight="1" x14ac:dyDescent="0.2">
      <c r="B22" s="128">
        <f t="shared" si="0"/>
        <v>10</v>
      </c>
      <c r="C22" s="128">
        <f t="shared" si="1"/>
        <v>1</v>
      </c>
      <c r="D22" s="128" t="str">
        <f t="shared" si="2"/>
        <v>IO</v>
      </c>
      <c r="E22" s="129">
        <f t="shared" si="3"/>
        <v>8750000</v>
      </c>
      <c r="F22" s="129">
        <f t="shared" si="4"/>
        <v>47395.833333333336</v>
      </c>
      <c r="G22" s="129">
        <f t="shared" si="5"/>
        <v>47395.833333333336</v>
      </c>
      <c r="H22" s="129">
        <f t="shared" si="6"/>
        <v>0</v>
      </c>
      <c r="I22" s="129">
        <f t="shared" si="7"/>
        <v>8750000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" customHeight="1" x14ac:dyDescent="0.2">
      <c r="B23" s="128">
        <f t="shared" si="0"/>
        <v>11</v>
      </c>
      <c r="C23" s="128">
        <f t="shared" si="1"/>
        <v>1</v>
      </c>
      <c r="D23" s="128" t="str">
        <f t="shared" si="2"/>
        <v>IO</v>
      </c>
      <c r="E23" s="129">
        <f t="shared" si="3"/>
        <v>8750000</v>
      </c>
      <c r="F23" s="129">
        <f t="shared" si="4"/>
        <v>47395.833333333336</v>
      </c>
      <c r="G23" s="129">
        <f t="shared" si="5"/>
        <v>47395.833333333336</v>
      </c>
      <c r="H23" s="129">
        <f t="shared" si="6"/>
        <v>0</v>
      </c>
      <c r="I23" s="129">
        <f t="shared" si="7"/>
        <v>8750000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" customHeight="1" x14ac:dyDescent="0.2">
      <c r="B24" s="128">
        <f t="shared" si="0"/>
        <v>12</v>
      </c>
      <c r="C24" s="128">
        <f t="shared" si="1"/>
        <v>1</v>
      </c>
      <c r="D24" s="128" t="str">
        <f t="shared" si="2"/>
        <v>IO</v>
      </c>
      <c r="E24" s="129">
        <f t="shared" si="3"/>
        <v>8750000</v>
      </c>
      <c r="F24" s="129">
        <f t="shared" si="4"/>
        <v>47395.833333333336</v>
      </c>
      <c r="G24" s="129">
        <f t="shared" si="5"/>
        <v>47395.833333333336</v>
      </c>
      <c r="H24" s="129">
        <f t="shared" si="6"/>
        <v>0</v>
      </c>
      <c r="I24" s="129">
        <f t="shared" si="7"/>
        <v>8750000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" customHeight="1" x14ac:dyDescent="0.2">
      <c r="B25" s="128">
        <f t="shared" si="0"/>
        <v>13</v>
      </c>
      <c r="C25" s="128">
        <f t="shared" si="1"/>
        <v>2</v>
      </c>
      <c r="D25" s="128" t="str">
        <f t="shared" si="2"/>
        <v>IO</v>
      </c>
      <c r="E25" s="129">
        <f t="shared" si="3"/>
        <v>8750000</v>
      </c>
      <c r="F25" s="129">
        <f t="shared" si="4"/>
        <v>47395.833333333336</v>
      </c>
      <c r="G25" s="129">
        <f t="shared" si="5"/>
        <v>47395.833333333336</v>
      </c>
      <c r="H25" s="129">
        <f t="shared" si="6"/>
        <v>0</v>
      </c>
      <c r="I25" s="129">
        <f t="shared" si="7"/>
        <v>8750000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" customHeight="1" x14ac:dyDescent="0.2">
      <c r="B26" s="128">
        <f t="shared" si="0"/>
        <v>14</v>
      </c>
      <c r="C26" s="128">
        <f t="shared" si="1"/>
        <v>2</v>
      </c>
      <c r="D26" s="128" t="str">
        <f t="shared" si="2"/>
        <v>IO</v>
      </c>
      <c r="E26" s="129">
        <f t="shared" si="3"/>
        <v>8750000</v>
      </c>
      <c r="F26" s="129">
        <f t="shared" si="4"/>
        <v>47395.833333333336</v>
      </c>
      <c r="G26" s="129">
        <f t="shared" si="5"/>
        <v>47395.833333333336</v>
      </c>
      <c r="H26" s="129">
        <f t="shared" si="6"/>
        <v>0</v>
      </c>
      <c r="I26" s="129">
        <f t="shared" si="7"/>
        <v>8750000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" customHeight="1" x14ac:dyDescent="0.2">
      <c r="B27" s="128">
        <f t="shared" si="0"/>
        <v>15</v>
      </c>
      <c r="C27" s="128">
        <f t="shared" si="1"/>
        <v>2</v>
      </c>
      <c r="D27" s="128" t="str">
        <f t="shared" si="2"/>
        <v>IO</v>
      </c>
      <c r="E27" s="129">
        <f t="shared" si="3"/>
        <v>8750000</v>
      </c>
      <c r="F27" s="129">
        <f t="shared" si="4"/>
        <v>47395.833333333336</v>
      </c>
      <c r="G27" s="129">
        <f t="shared" si="5"/>
        <v>47395.833333333336</v>
      </c>
      <c r="H27" s="129">
        <f t="shared" si="6"/>
        <v>0</v>
      </c>
      <c r="I27" s="129">
        <f t="shared" si="7"/>
        <v>8750000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" customHeight="1" x14ac:dyDescent="0.2">
      <c r="B28" s="128">
        <f t="shared" si="0"/>
        <v>16</v>
      </c>
      <c r="C28" s="128">
        <f t="shared" si="1"/>
        <v>2</v>
      </c>
      <c r="D28" s="128" t="str">
        <f t="shared" si="2"/>
        <v>IO</v>
      </c>
      <c r="E28" s="129">
        <f t="shared" si="3"/>
        <v>8750000</v>
      </c>
      <c r="F28" s="129">
        <f t="shared" si="4"/>
        <v>47395.833333333336</v>
      </c>
      <c r="G28" s="129">
        <f t="shared" si="5"/>
        <v>47395.833333333336</v>
      </c>
      <c r="H28" s="129">
        <f t="shared" si="6"/>
        <v>0</v>
      </c>
      <c r="I28" s="129">
        <f t="shared" si="7"/>
        <v>8750000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" customHeight="1" x14ac:dyDescent="0.2">
      <c r="B29" s="128">
        <f t="shared" si="0"/>
        <v>17</v>
      </c>
      <c r="C29" s="128">
        <f t="shared" si="1"/>
        <v>2</v>
      </c>
      <c r="D29" s="128" t="str">
        <f t="shared" si="2"/>
        <v>IO</v>
      </c>
      <c r="E29" s="129">
        <f t="shared" si="3"/>
        <v>8750000</v>
      </c>
      <c r="F29" s="129">
        <f t="shared" si="4"/>
        <v>47395.833333333336</v>
      </c>
      <c r="G29" s="129">
        <f t="shared" si="5"/>
        <v>47395.833333333336</v>
      </c>
      <c r="H29" s="129">
        <f t="shared" si="6"/>
        <v>0</v>
      </c>
      <c r="I29" s="129">
        <f t="shared" si="7"/>
        <v>8750000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" customHeight="1" x14ac:dyDescent="0.2">
      <c r="B30" s="128">
        <f t="shared" si="0"/>
        <v>18</v>
      </c>
      <c r="C30" s="128">
        <f t="shared" si="1"/>
        <v>2</v>
      </c>
      <c r="D30" s="128" t="str">
        <f t="shared" si="2"/>
        <v>IO</v>
      </c>
      <c r="E30" s="129">
        <f t="shared" si="3"/>
        <v>8750000</v>
      </c>
      <c r="F30" s="129">
        <f t="shared" si="4"/>
        <v>47395.833333333336</v>
      </c>
      <c r="G30" s="129">
        <f t="shared" si="5"/>
        <v>47395.833333333336</v>
      </c>
      <c r="H30" s="129">
        <f t="shared" si="6"/>
        <v>0</v>
      </c>
      <c r="I30" s="129">
        <f t="shared" si="7"/>
        <v>8750000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" customHeight="1" x14ac:dyDescent="0.2">
      <c r="B31" s="128">
        <f t="shared" si="0"/>
        <v>19</v>
      </c>
      <c r="C31" s="128">
        <f t="shared" si="1"/>
        <v>2</v>
      </c>
      <c r="D31" s="128" t="str">
        <f t="shared" si="2"/>
        <v>IO</v>
      </c>
      <c r="E31" s="129">
        <f t="shared" si="3"/>
        <v>8750000</v>
      </c>
      <c r="F31" s="129">
        <f t="shared" si="4"/>
        <v>47395.833333333336</v>
      </c>
      <c r="G31" s="129">
        <f t="shared" si="5"/>
        <v>47395.833333333336</v>
      </c>
      <c r="H31" s="129">
        <f t="shared" si="6"/>
        <v>0</v>
      </c>
      <c r="I31" s="129">
        <f t="shared" si="7"/>
        <v>8750000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" customHeight="1" x14ac:dyDescent="0.2">
      <c r="B32" s="128">
        <f t="shared" si="0"/>
        <v>20</v>
      </c>
      <c r="C32" s="128">
        <f t="shared" si="1"/>
        <v>2</v>
      </c>
      <c r="D32" s="128" t="str">
        <f t="shared" si="2"/>
        <v>IO</v>
      </c>
      <c r="E32" s="129">
        <f t="shared" si="3"/>
        <v>8750000</v>
      </c>
      <c r="F32" s="129">
        <f t="shared" si="4"/>
        <v>47395.833333333336</v>
      </c>
      <c r="G32" s="129">
        <f t="shared" si="5"/>
        <v>47395.833333333336</v>
      </c>
      <c r="H32" s="129">
        <f t="shared" si="6"/>
        <v>0</v>
      </c>
      <c r="I32" s="129">
        <f t="shared" si="7"/>
        <v>8750000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" customHeight="1" x14ac:dyDescent="0.2">
      <c r="B33" s="128">
        <f t="shared" si="0"/>
        <v>21</v>
      </c>
      <c r="C33" s="128">
        <f t="shared" si="1"/>
        <v>2</v>
      </c>
      <c r="D33" s="128" t="str">
        <f t="shared" si="2"/>
        <v>IO</v>
      </c>
      <c r="E33" s="129">
        <f t="shared" si="3"/>
        <v>8750000</v>
      </c>
      <c r="F33" s="129">
        <f t="shared" si="4"/>
        <v>47395.833333333336</v>
      </c>
      <c r="G33" s="129">
        <f t="shared" si="5"/>
        <v>47395.833333333336</v>
      </c>
      <c r="H33" s="129">
        <f t="shared" si="6"/>
        <v>0</v>
      </c>
      <c r="I33" s="129">
        <f t="shared" si="7"/>
        <v>8750000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6" customHeight="1" x14ac:dyDescent="0.2">
      <c r="B34" s="128">
        <f t="shared" si="0"/>
        <v>22</v>
      </c>
      <c r="C34" s="128">
        <f t="shared" si="1"/>
        <v>2</v>
      </c>
      <c r="D34" s="128" t="str">
        <f t="shared" si="2"/>
        <v>IO</v>
      </c>
      <c r="E34" s="129">
        <f t="shared" si="3"/>
        <v>8750000</v>
      </c>
      <c r="F34" s="129">
        <f t="shared" si="4"/>
        <v>47395.833333333336</v>
      </c>
      <c r="G34" s="129">
        <f t="shared" si="5"/>
        <v>47395.833333333336</v>
      </c>
      <c r="H34" s="129">
        <f t="shared" si="6"/>
        <v>0</v>
      </c>
      <c r="I34" s="129">
        <f t="shared" si="7"/>
        <v>8750000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" customHeight="1" x14ac:dyDescent="0.2">
      <c r="B35" s="128">
        <f t="shared" si="0"/>
        <v>23</v>
      </c>
      <c r="C35" s="128">
        <f t="shared" si="1"/>
        <v>2</v>
      </c>
      <c r="D35" s="128" t="str">
        <f t="shared" si="2"/>
        <v>IO</v>
      </c>
      <c r="E35" s="129">
        <f t="shared" si="3"/>
        <v>8750000</v>
      </c>
      <c r="F35" s="129">
        <f t="shared" si="4"/>
        <v>47395.833333333336</v>
      </c>
      <c r="G35" s="129">
        <f t="shared" si="5"/>
        <v>47395.833333333336</v>
      </c>
      <c r="H35" s="129">
        <f t="shared" si="6"/>
        <v>0</v>
      </c>
      <c r="I35" s="129">
        <f t="shared" si="7"/>
        <v>8750000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6" customHeight="1" x14ac:dyDescent="0.2">
      <c r="B36" s="128">
        <f t="shared" si="0"/>
        <v>24</v>
      </c>
      <c r="C36" s="128">
        <f t="shared" si="1"/>
        <v>2</v>
      </c>
      <c r="D36" s="128" t="str">
        <f t="shared" si="2"/>
        <v>IO</v>
      </c>
      <c r="E36" s="129">
        <f t="shared" si="3"/>
        <v>8750000</v>
      </c>
      <c r="F36" s="129">
        <f t="shared" si="4"/>
        <v>47395.833333333336</v>
      </c>
      <c r="G36" s="129">
        <f t="shared" si="5"/>
        <v>47395.833333333336</v>
      </c>
      <c r="H36" s="129">
        <f t="shared" si="6"/>
        <v>0</v>
      </c>
      <c r="I36" s="129">
        <f t="shared" si="7"/>
        <v>8750000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6" customHeight="1" x14ac:dyDescent="0.2">
      <c r="B37" s="125">
        <f t="shared" si="0"/>
        <v>25</v>
      </c>
      <c r="C37" s="125">
        <f t="shared" si="1"/>
        <v>3</v>
      </c>
      <c r="D37" s="125" t="str">
        <f t="shared" si="2"/>
        <v>Amort</v>
      </c>
      <c r="E37" s="14">
        <f t="shared" si="3"/>
        <v>8750000</v>
      </c>
      <c r="F37" s="14">
        <f t="shared" si="4"/>
        <v>55305.952055634327</v>
      </c>
      <c r="G37" s="14">
        <f t="shared" si="5"/>
        <v>47395.833333333336</v>
      </c>
      <c r="H37" s="14">
        <f t="shared" si="6"/>
        <v>7910.1187223009911</v>
      </c>
      <c r="I37" s="14">
        <f t="shared" si="7"/>
        <v>8742089.881277699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6" customHeight="1" x14ac:dyDescent="0.2">
      <c r="B38" s="125">
        <f t="shared" si="0"/>
        <v>26</v>
      </c>
      <c r="C38" s="125">
        <f t="shared" si="1"/>
        <v>3</v>
      </c>
      <c r="D38" s="125" t="str">
        <f t="shared" si="2"/>
        <v>Amort</v>
      </c>
      <c r="E38" s="14">
        <f t="shared" si="3"/>
        <v>8742089.881277699</v>
      </c>
      <c r="F38" s="14">
        <f t="shared" si="4"/>
        <v>55305.952055634327</v>
      </c>
      <c r="G38" s="14">
        <f t="shared" si="5"/>
        <v>47352.98685692087</v>
      </c>
      <c r="H38" s="14">
        <f t="shared" si="6"/>
        <v>7952.9651987134566</v>
      </c>
      <c r="I38" s="14">
        <f t="shared" si="7"/>
        <v>8734136.9160789847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6" customHeight="1" x14ac:dyDescent="0.2">
      <c r="B39" s="125">
        <f t="shared" si="0"/>
        <v>27</v>
      </c>
      <c r="C39" s="125">
        <f t="shared" si="1"/>
        <v>3</v>
      </c>
      <c r="D39" s="125" t="str">
        <f t="shared" si="2"/>
        <v>Amort</v>
      </c>
      <c r="E39" s="14">
        <f t="shared" si="3"/>
        <v>8734136.9160789847</v>
      </c>
      <c r="F39" s="14">
        <f t="shared" si="4"/>
        <v>55305.952055634327</v>
      </c>
      <c r="G39" s="14">
        <f t="shared" si="5"/>
        <v>47309.908295427835</v>
      </c>
      <c r="H39" s="14">
        <f t="shared" si="6"/>
        <v>7996.0437602064922</v>
      </c>
      <c r="I39" s="14">
        <f t="shared" si="7"/>
        <v>8726140.8723187782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6" customHeight="1" x14ac:dyDescent="0.2">
      <c r="B40" s="125">
        <f t="shared" si="0"/>
        <v>28</v>
      </c>
      <c r="C40" s="125">
        <f t="shared" si="1"/>
        <v>3</v>
      </c>
      <c r="D40" s="125" t="str">
        <f t="shared" si="2"/>
        <v>Amort</v>
      </c>
      <c r="E40" s="14">
        <f t="shared" si="3"/>
        <v>8726140.8723187782</v>
      </c>
      <c r="F40" s="14">
        <f t="shared" si="4"/>
        <v>55305.952055634327</v>
      </c>
      <c r="G40" s="14">
        <f t="shared" si="5"/>
        <v>47266.596391726715</v>
      </c>
      <c r="H40" s="14">
        <f t="shared" si="6"/>
        <v>8039.3556639076123</v>
      </c>
      <c r="I40" s="14">
        <f t="shared" si="7"/>
        <v>8718101.5166548714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6" customHeight="1" x14ac:dyDescent="0.2">
      <c r="B41" s="125">
        <f t="shared" si="0"/>
        <v>29</v>
      </c>
      <c r="C41" s="125">
        <f t="shared" si="1"/>
        <v>3</v>
      </c>
      <c r="D41" s="125" t="str">
        <f t="shared" si="2"/>
        <v>Amort</v>
      </c>
      <c r="E41" s="14">
        <f t="shared" si="3"/>
        <v>8718101.5166548714</v>
      </c>
      <c r="F41" s="14">
        <f t="shared" si="4"/>
        <v>55305.952055634327</v>
      </c>
      <c r="G41" s="14">
        <f t="shared" si="5"/>
        <v>47223.049881880557</v>
      </c>
      <c r="H41" s="14">
        <f t="shared" si="6"/>
        <v>8082.9021737537696</v>
      </c>
      <c r="I41" s="14">
        <f t="shared" si="7"/>
        <v>8710018.6144811176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6" customHeight="1" x14ac:dyDescent="0.2">
      <c r="B42" s="125">
        <f t="shared" si="0"/>
        <v>30</v>
      </c>
      <c r="C42" s="125">
        <f t="shared" si="1"/>
        <v>3</v>
      </c>
      <c r="D42" s="125" t="str">
        <f t="shared" si="2"/>
        <v>Amort</v>
      </c>
      <c r="E42" s="14">
        <f t="shared" si="3"/>
        <v>8710018.6144811176</v>
      </c>
      <c r="F42" s="14">
        <f t="shared" si="4"/>
        <v>55305.952055634327</v>
      </c>
      <c r="G42" s="14">
        <f t="shared" si="5"/>
        <v>47179.267495106054</v>
      </c>
      <c r="H42" s="14">
        <f t="shared" si="6"/>
        <v>8126.6845605282724</v>
      </c>
      <c r="I42" s="14">
        <f t="shared" si="7"/>
        <v>8701891.9299205896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6" customHeight="1" x14ac:dyDescent="0.2">
      <c r="B43" s="125">
        <f t="shared" si="0"/>
        <v>31</v>
      </c>
      <c r="C43" s="125">
        <f t="shared" si="1"/>
        <v>3</v>
      </c>
      <c r="D43" s="125" t="str">
        <f t="shared" si="2"/>
        <v>Amort</v>
      </c>
      <c r="E43" s="14">
        <f t="shared" si="3"/>
        <v>8701891.9299205896</v>
      </c>
      <c r="F43" s="14">
        <f t="shared" si="4"/>
        <v>55305.952055634327</v>
      </c>
      <c r="G43" s="14">
        <f t="shared" si="5"/>
        <v>47135.247953736529</v>
      </c>
      <c r="H43" s="14">
        <f t="shared" si="6"/>
        <v>8170.704101897798</v>
      </c>
      <c r="I43" s="14">
        <f t="shared" si="7"/>
        <v>8693721.2258186918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6" customHeight="1" x14ac:dyDescent="0.2">
      <c r="B44" s="125">
        <f t="shared" si="0"/>
        <v>32</v>
      </c>
      <c r="C44" s="125">
        <f t="shared" si="1"/>
        <v>3</v>
      </c>
      <c r="D44" s="125" t="str">
        <f t="shared" si="2"/>
        <v>Amort</v>
      </c>
      <c r="E44" s="14">
        <f t="shared" si="3"/>
        <v>8693721.2258186918</v>
      </c>
      <c r="F44" s="14">
        <f t="shared" si="4"/>
        <v>55305.952055634327</v>
      </c>
      <c r="G44" s="14">
        <f t="shared" si="5"/>
        <v>47090.98997318458</v>
      </c>
      <c r="H44" s="14">
        <f t="shared" si="6"/>
        <v>8214.962082449747</v>
      </c>
      <c r="I44" s="14">
        <f t="shared" si="7"/>
        <v>8685506.2637362424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6" customHeight="1" x14ac:dyDescent="0.2">
      <c r="B45" s="125">
        <f t="shared" si="0"/>
        <v>33</v>
      </c>
      <c r="C45" s="125">
        <f t="shared" si="1"/>
        <v>3</v>
      </c>
      <c r="D45" s="125" t="str">
        <f t="shared" si="2"/>
        <v>Amort</v>
      </c>
      <c r="E45" s="14">
        <f t="shared" si="3"/>
        <v>8685506.2637362424</v>
      </c>
      <c r="F45" s="14">
        <f t="shared" si="4"/>
        <v>55305.952055634327</v>
      </c>
      <c r="G45" s="14">
        <f t="shared" si="5"/>
        <v>47046.492261904648</v>
      </c>
      <c r="H45" s="14">
        <f t="shared" si="6"/>
        <v>8259.4597937296785</v>
      </c>
      <c r="I45" s="14">
        <f t="shared" si="7"/>
        <v>8677246.8039425127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6" customHeight="1" x14ac:dyDescent="0.2">
      <c r="B46" s="125">
        <f t="shared" si="0"/>
        <v>34</v>
      </c>
      <c r="C46" s="125">
        <f t="shared" si="1"/>
        <v>3</v>
      </c>
      <c r="D46" s="125" t="str">
        <f t="shared" si="2"/>
        <v>Amort</v>
      </c>
      <c r="E46" s="14">
        <f t="shared" si="3"/>
        <v>8677246.8039425127</v>
      </c>
      <c r="F46" s="14">
        <f t="shared" si="4"/>
        <v>55305.952055634327</v>
      </c>
      <c r="G46" s="14">
        <f t="shared" si="5"/>
        <v>47001.753521355276</v>
      </c>
      <c r="H46" s="14">
        <f t="shared" si="6"/>
        <v>8304.1985342790504</v>
      </c>
      <c r="I46" s="14">
        <f t="shared" si="7"/>
        <v>8668942.6054082345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6" customHeight="1" x14ac:dyDescent="0.2">
      <c r="B47" s="125">
        <f t="shared" si="0"/>
        <v>35</v>
      </c>
      <c r="C47" s="125">
        <f t="shared" si="1"/>
        <v>3</v>
      </c>
      <c r="D47" s="125" t="str">
        <f t="shared" si="2"/>
        <v>Amort</v>
      </c>
      <c r="E47" s="14">
        <f t="shared" si="3"/>
        <v>8668942.6054082345</v>
      </c>
      <c r="F47" s="14">
        <f t="shared" si="4"/>
        <v>55305.952055634327</v>
      </c>
      <c r="G47" s="14">
        <f t="shared" si="5"/>
        <v>46956.772445961273</v>
      </c>
      <c r="H47" s="14">
        <f t="shared" si="6"/>
        <v>8349.1796096730541</v>
      </c>
      <c r="I47" s="14">
        <f t="shared" si="7"/>
        <v>8660593.4257985614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6" customHeight="1" x14ac:dyDescent="0.2">
      <c r="B48" s="125">
        <f t="shared" si="0"/>
        <v>36</v>
      </c>
      <c r="C48" s="125">
        <f t="shared" si="1"/>
        <v>3</v>
      </c>
      <c r="D48" s="125" t="str">
        <f t="shared" si="2"/>
        <v>Amort</v>
      </c>
      <c r="E48" s="14">
        <f t="shared" si="3"/>
        <v>8660593.4257985614</v>
      </c>
      <c r="F48" s="14">
        <f t="shared" si="4"/>
        <v>55305.952055634327</v>
      </c>
      <c r="G48" s="14">
        <f t="shared" si="5"/>
        <v>46911.547723075542</v>
      </c>
      <c r="H48" s="14">
        <f t="shared" si="6"/>
        <v>8394.4043325587845</v>
      </c>
      <c r="I48" s="14">
        <f t="shared" si="7"/>
        <v>8652199.0214660019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6" customHeight="1" x14ac:dyDescent="0.2">
      <c r="B49" s="127">
        <f t="shared" si="0"/>
        <v>37</v>
      </c>
      <c r="C49" s="127">
        <f t="shared" si="1"/>
        <v>4</v>
      </c>
      <c r="D49" s="127" t="str">
        <f t="shared" si="2"/>
        <v>Amort</v>
      </c>
      <c r="E49" s="50">
        <f t="shared" si="3"/>
        <v>8652199.0214660019</v>
      </c>
      <c r="F49" s="50">
        <f t="shared" si="4"/>
        <v>55305.952055634327</v>
      </c>
      <c r="G49" s="50">
        <f t="shared" si="5"/>
        <v>46866.078032940844</v>
      </c>
      <c r="H49" s="50">
        <f t="shared" si="6"/>
        <v>8439.8740226934824</v>
      </c>
      <c r="I49" s="50">
        <f t="shared" si="7"/>
        <v>8643759.1474433076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6" customHeight="1" x14ac:dyDescent="0.2">
      <c r="B50" s="127">
        <f t="shared" si="0"/>
        <v>38</v>
      </c>
      <c r="C50" s="127">
        <f t="shared" si="1"/>
        <v>4</v>
      </c>
      <c r="D50" s="127" t="str">
        <f t="shared" si="2"/>
        <v>Amort</v>
      </c>
      <c r="E50" s="50">
        <f t="shared" si="3"/>
        <v>8643759.1474433076</v>
      </c>
      <c r="F50" s="50">
        <f t="shared" si="4"/>
        <v>55305.952055634327</v>
      </c>
      <c r="G50" s="50">
        <f t="shared" si="5"/>
        <v>46820.362048651252</v>
      </c>
      <c r="H50" s="50">
        <f t="shared" si="6"/>
        <v>8485.590006983075</v>
      </c>
      <c r="I50" s="50">
        <f t="shared" si="7"/>
        <v>8635273.5574363247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6" customHeight="1" x14ac:dyDescent="0.2">
      <c r="B51" s="127">
        <f t="shared" si="0"/>
        <v>39</v>
      </c>
      <c r="C51" s="127">
        <f t="shared" si="1"/>
        <v>4</v>
      </c>
      <c r="D51" s="127" t="str">
        <f t="shared" si="2"/>
        <v>Amort</v>
      </c>
      <c r="E51" s="50">
        <f t="shared" si="3"/>
        <v>8635273.5574363247</v>
      </c>
      <c r="F51" s="50">
        <f t="shared" si="4"/>
        <v>55305.952055634327</v>
      </c>
      <c r="G51" s="50">
        <f t="shared" si="5"/>
        <v>46774.398436113428</v>
      </c>
      <c r="H51" s="50">
        <f t="shared" si="6"/>
        <v>8531.5536195208988</v>
      </c>
      <c r="I51" s="50">
        <f t="shared" si="7"/>
        <v>8626742.0038168039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6" customHeight="1" x14ac:dyDescent="0.2">
      <c r="B52" s="127">
        <f t="shared" si="0"/>
        <v>40</v>
      </c>
      <c r="C52" s="127">
        <f t="shared" si="1"/>
        <v>4</v>
      </c>
      <c r="D52" s="127" t="str">
        <f t="shared" si="2"/>
        <v>Amort</v>
      </c>
      <c r="E52" s="50">
        <f t="shared" si="3"/>
        <v>8626742.0038168039</v>
      </c>
      <c r="F52" s="50">
        <f t="shared" si="4"/>
        <v>55305.952055634327</v>
      </c>
      <c r="G52" s="50">
        <f t="shared" si="5"/>
        <v>46728.185854007686</v>
      </c>
      <c r="H52" s="50">
        <f t="shared" si="6"/>
        <v>8577.7662016266404</v>
      </c>
      <c r="I52" s="50">
        <f t="shared" si="7"/>
        <v>8618164.2376151774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6" customHeight="1" x14ac:dyDescent="0.2">
      <c r="B53" s="127">
        <f t="shared" si="0"/>
        <v>41</v>
      </c>
      <c r="C53" s="127">
        <f t="shared" si="1"/>
        <v>4</v>
      </c>
      <c r="D53" s="127" t="str">
        <f t="shared" si="2"/>
        <v>Amort</v>
      </c>
      <c r="E53" s="50">
        <f t="shared" si="3"/>
        <v>8618164.2376151774</v>
      </c>
      <c r="F53" s="50">
        <f t="shared" si="4"/>
        <v>55305.952055634327</v>
      </c>
      <c r="G53" s="50">
        <f t="shared" si="5"/>
        <v>46681.722953748882</v>
      </c>
      <c r="H53" s="50">
        <f t="shared" si="6"/>
        <v>8624.2291018854448</v>
      </c>
      <c r="I53" s="50">
        <f t="shared" si="7"/>
        <v>8609540.0085132923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6" customHeight="1" x14ac:dyDescent="0.2">
      <c r="B54" s="127">
        <f t="shared" si="0"/>
        <v>42</v>
      </c>
      <c r="C54" s="127">
        <f t="shared" si="1"/>
        <v>4</v>
      </c>
      <c r="D54" s="127" t="str">
        <f t="shared" si="2"/>
        <v>Amort</v>
      </c>
      <c r="E54" s="50">
        <f t="shared" si="3"/>
        <v>8609540.0085132923</v>
      </c>
      <c r="F54" s="50">
        <f t="shared" si="4"/>
        <v>55305.952055634327</v>
      </c>
      <c r="G54" s="50">
        <f t="shared" si="5"/>
        <v>46635.008379447005</v>
      </c>
      <c r="H54" s="50">
        <f t="shared" si="6"/>
        <v>8670.9436761873221</v>
      </c>
      <c r="I54" s="50">
        <f t="shared" si="7"/>
        <v>8600869.0648371056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6" customHeight="1" x14ac:dyDescent="0.2">
      <c r="B55" s="127">
        <f t="shared" si="0"/>
        <v>43</v>
      </c>
      <c r="C55" s="127">
        <f t="shared" si="1"/>
        <v>4</v>
      </c>
      <c r="D55" s="127" t="str">
        <f t="shared" si="2"/>
        <v>Amort</v>
      </c>
      <c r="E55" s="50">
        <f t="shared" si="3"/>
        <v>8600869.0648371056</v>
      </c>
      <c r="F55" s="50">
        <f t="shared" si="4"/>
        <v>55305.952055634327</v>
      </c>
      <c r="G55" s="50">
        <f t="shared" si="5"/>
        <v>46588.040767867657</v>
      </c>
      <c r="H55" s="50">
        <f t="shared" si="6"/>
        <v>8717.9112877666703</v>
      </c>
      <c r="I55" s="50">
        <f t="shared" si="7"/>
        <v>8592151.1535493396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6" customHeight="1" x14ac:dyDescent="0.2">
      <c r="B56" s="127">
        <f t="shared" si="0"/>
        <v>44</v>
      </c>
      <c r="C56" s="127">
        <f t="shared" si="1"/>
        <v>4</v>
      </c>
      <c r="D56" s="127" t="str">
        <f t="shared" si="2"/>
        <v>Amort</v>
      </c>
      <c r="E56" s="50">
        <f t="shared" si="3"/>
        <v>8592151.1535493396</v>
      </c>
      <c r="F56" s="50">
        <f t="shared" si="4"/>
        <v>55305.952055634327</v>
      </c>
      <c r="G56" s="50">
        <f t="shared" si="5"/>
        <v>46540.818748392259</v>
      </c>
      <c r="H56" s="50">
        <f t="shared" si="6"/>
        <v>8765.1333072420675</v>
      </c>
      <c r="I56" s="50">
        <f t="shared" si="7"/>
        <v>8583386.0202420969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6" customHeight="1" x14ac:dyDescent="0.2">
      <c r="B57" s="127">
        <f t="shared" si="0"/>
        <v>45</v>
      </c>
      <c r="C57" s="127">
        <f t="shared" si="1"/>
        <v>4</v>
      </c>
      <c r="D57" s="127" t="str">
        <f t="shared" si="2"/>
        <v>Amort</v>
      </c>
      <c r="E57" s="50">
        <f t="shared" si="3"/>
        <v>8583386.0202420969</v>
      </c>
      <c r="F57" s="50">
        <f t="shared" si="4"/>
        <v>55305.952055634327</v>
      </c>
      <c r="G57" s="50">
        <f t="shared" si="5"/>
        <v>46493.340942978029</v>
      </c>
      <c r="H57" s="50">
        <f t="shared" si="6"/>
        <v>8812.6111126562973</v>
      </c>
      <c r="I57" s="50">
        <f t="shared" si="7"/>
        <v>8574573.4091294408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6" customHeight="1" x14ac:dyDescent="0.2">
      <c r="B58" s="127">
        <f t="shared" si="0"/>
        <v>46</v>
      </c>
      <c r="C58" s="127">
        <f t="shared" si="1"/>
        <v>4</v>
      </c>
      <c r="D58" s="127" t="str">
        <f t="shared" si="2"/>
        <v>Amort</v>
      </c>
      <c r="E58" s="50">
        <f t="shared" si="3"/>
        <v>8574573.4091294408</v>
      </c>
      <c r="F58" s="50">
        <f t="shared" si="4"/>
        <v>55305.952055634327</v>
      </c>
      <c r="G58" s="50">
        <f t="shared" si="5"/>
        <v>46445.605966117808</v>
      </c>
      <c r="H58" s="50">
        <f t="shared" si="6"/>
        <v>8860.346089516519</v>
      </c>
      <c r="I58" s="50">
        <f t="shared" si="7"/>
        <v>8565713.0630399249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6" customHeight="1" x14ac:dyDescent="0.2">
      <c r="B59" s="127">
        <f t="shared" si="0"/>
        <v>47</v>
      </c>
      <c r="C59" s="127">
        <f t="shared" si="1"/>
        <v>4</v>
      </c>
      <c r="D59" s="127" t="str">
        <f t="shared" si="2"/>
        <v>Amort</v>
      </c>
      <c r="E59" s="50">
        <f t="shared" si="3"/>
        <v>8565713.0630399249</v>
      </c>
      <c r="F59" s="50">
        <f t="shared" si="4"/>
        <v>55305.952055634327</v>
      </c>
      <c r="G59" s="50">
        <f t="shared" si="5"/>
        <v>46397.612424799598</v>
      </c>
      <c r="H59" s="50">
        <f t="shared" si="6"/>
        <v>8908.3396308347292</v>
      </c>
      <c r="I59" s="50">
        <f t="shared" si="7"/>
        <v>8556804.7234090902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6" customHeight="1" x14ac:dyDescent="0.2">
      <c r="B60" s="127">
        <f t="shared" si="0"/>
        <v>48</v>
      </c>
      <c r="C60" s="127">
        <f t="shared" si="1"/>
        <v>4</v>
      </c>
      <c r="D60" s="127" t="str">
        <f t="shared" si="2"/>
        <v>Amort</v>
      </c>
      <c r="E60" s="50">
        <f t="shared" si="3"/>
        <v>8556804.7234090902</v>
      </c>
      <c r="F60" s="50">
        <f t="shared" si="4"/>
        <v>55305.952055634327</v>
      </c>
      <c r="G60" s="50">
        <f t="shared" si="5"/>
        <v>46349.358918465907</v>
      </c>
      <c r="H60" s="50">
        <f t="shared" si="6"/>
        <v>8956.5931371684201</v>
      </c>
      <c r="I60" s="50">
        <f t="shared" si="7"/>
        <v>8547848.1302719209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6" customHeight="1" x14ac:dyDescent="0.2">
      <c r="B61" s="125">
        <f t="shared" si="0"/>
        <v>49</v>
      </c>
      <c r="C61" s="125">
        <f t="shared" si="1"/>
        <v>5</v>
      </c>
      <c r="D61" s="125" t="str">
        <f t="shared" si="2"/>
        <v>Amort</v>
      </c>
      <c r="E61" s="14">
        <f t="shared" si="3"/>
        <v>8547848.1302719209</v>
      </c>
      <c r="F61" s="14">
        <f t="shared" si="4"/>
        <v>55305.952055634327</v>
      </c>
      <c r="G61" s="14">
        <f t="shared" si="5"/>
        <v>46300.844038972908</v>
      </c>
      <c r="H61" s="14">
        <f t="shared" si="6"/>
        <v>9005.1080166614192</v>
      </c>
      <c r="I61" s="14">
        <f t="shared" si="7"/>
        <v>8538843.0222552586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6" customHeight="1" x14ac:dyDescent="0.2">
      <c r="B62" s="125">
        <f t="shared" si="0"/>
        <v>50</v>
      </c>
      <c r="C62" s="125">
        <f t="shared" si="1"/>
        <v>5</v>
      </c>
      <c r="D62" s="125" t="str">
        <f t="shared" si="2"/>
        <v>Amort</v>
      </c>
      <c r="E62" s="14">
        <f t="shared" si="3"/>
        <v>8538843.0222552586</v>
      </c>
      <c r="F62" s="14">
        <f t="shared" si="4"/>
        <v>55305.952055634327</v>
      </c>
      <c r="G62" s="14">
        <f t="shared" si="5"/>
        <v>46252.066370549321</v>
      </c>
      <c r="H62" s="14">
        <f t="shared" si="6"/>
        <v>9053.8856850850061</v>
      </c>
      <c r="I62" s="14">
        <f t="shared" si="7"/>
        <v>8529789.1365701742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6" customHeight="1" x14ac:dyDescent="0.2">
      <c r="B63" s="125">
        <f t="shared" si="0"/>
        <v>51</v>
      </c>
      <c r="C63" s="125">
        <f t="shared" si="1"/>
        <v>5</v>
      </c>
      <c r="D63" s="125" t="str">
        <f t="shared" si="2"/>
        <v>Amort</v>
      </c>
      <c r="E63" s="14">
        <f t="shared" si="3"/>
        <v>8529789.1365701742</v>
      </c>
      <c r="F63" s="14">
        <f t="shared" si="4"/>
        <v>55305.952055634327</v>
      </c>
      <c r="G63" s="14">
        <f t="shared" si="5"/>
        <v>46203.024489755109</v>
      </c>
      <c r="H63" s="14">
        <f t="shared" si="6"/>
        <v>9102.9275658792176</v>
      </c>
      <c r="I63" s="14">
        <f t="shared" si="7"/>
        <v>8520686.2090042941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6" customHeight="1" x14ac:dyDescent="0.2">
      <c r="B64" s="125">
        <f t="shared" si="0"/>
        <v>52</v>
      </c>
      <c r="C64" s="125">
        <f t="shared" si="1"/>
        <v>5</v>
      </c>
      <c r="D64" s="125" t="str">
        <f t="shared" si="2"/>
        <v>Amort</v>
      </c>
      <c r="E64" s="14">
        <f t="shared" si="3"/>
        <v>8520686.2090042941</v>
      </c>
      <c r="F64" s="14">
        <f t="shared" si="4"/>
        <v>55305.952055634327</v>
      </c>
      <c r="G64" s="14">
        <f t="shared" si="5"/>
        <v>46153.716965439926</v>
      </c>
      <c r="H64" s="14">
        <f t="shared" si="6"/>
        <v>9152.235090194401</v>
      </c>
      <c r="I64" s="14">
        <f t="shared" si="7"/>
        <v>8511533.9739140999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6" customHeight="1" x14ac:dyDescent="0.2">
      <c r="B65" s="125">
        <f t="shared" si="0"/>
        <v>53</v>
      </c>
      <c r="C65" s="125">
        <f t="shared" si="1"/>
        <v>5</v>
      </c>
      <c r="D65" s="125" t="str">
        <f t="shared" si="2"/>
        <v>Amort</v>
      </c>
      <c r="E65" s="14">
        <f t="shared" si="3"/>
        <v>8511533.9739140999</v>
      </c>
      <c r="F65" s="14">
        <f t="shared" si="4"/>
        <v>55305.952055634327</v>
      </c>
      <c r="G65" s="14">
        <f t="shared" si="5"/>
        <v>46104.142358701378</v>
      </c>
      <c r="H65" s="14">
        <f t="shared" si="6"/>
        <v>9201.809696932949</v>
      </c>
      <c r="I65" s="14">
        <f t="shared" si="7"/>
        <v>8502332.1642171666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6" customHeight="1" x14ac:dyDescent="0.2">
      <c r="B66" s="125">
        <f t="shared" si="0"/>
        <v>54</v>
      </c>
      <c r="C66" s="125">
        <f t="shared" si="1"/>
        <v>5</v>
      </c>
      <c r="D66" s="125" t="str">
        <f t="shared" si="2"/>
        <v>Amort</v>
      </c>
      <c r="E66" s="14">
        <f t="shared" si="3"/>
        <v>8502332.1642171666</v>
      </c>
      <c r="F66" s="14">
        <f t="shared" si="4"/>
        <v>55305.952055634327</v>
      </c>
      <c r="G66" s="14">
        <f t="shared" si="5"/>
        <v>46054.299222842987</v>
      </c>
      <c r="H66" s="14">
        <f t="shared" si="6"/>
        <v>9251.6528327913402</v>
      </c>
      <c r="I66" s="14">
        <f t="shared" si="7"/>
        <v>8493080.5113843754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6" customHeight="1" x14ac:dyDescent="0.2">
      <c r="B67" s="125">
        <f t="shared" si="0"/>
        <v>55</v>
      </c>
      <c r="C67" s="125">
        <f t="shared" si="1"/>
        <v>5</v>
      </c>
      <c r="D67" s="125" t="str">
        <f t="shared" si="2"/>
        <v>Amort</v>
      </c>
      <c r="E67" s="14">
        <f t="shared" si="3"/>
        <v>8493080.5113843754</v>
      </c>
      <c r="F67" s="14">
        <f t="shared" si="4"/>
        <v>55305.952055634327</v>
      </c>
      <c r="G67" s="14">
        <f t="shared" si="5"/>
        <v>46004.186103332038</v>
      </c>
      <c r="H67" s="14">
        <f t="shared" si="6"/>
        <v>9301.7659523022885</v>
      </c>
      <c r="I67" s="14">
        <f t="shared" si="7"/>
        <v>8483778.7454320733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6" customHeight="1" x14ac:dyDescent="0.2">
      <c r="B68" s="125">
        <f t="shared" si="0"/>
        <v>56</v>
      </c>
      <c r="C68" s="125">
        <f t="shared" si="1"/>
        <v>5</v>
      </c>
      <c r="D68" s="125" t="str">
        <f t="shared" si="2"/>
        <v>Amort</v>
      </c>
      <c r="E68" s="14">
        <f t="shared" si="3"/>
        <v>8483778.7454320733</v>
      </c>
      <c r="F68" s="14">
        <f t="shared" si="4"/>
        <v>55305.952055634327</v>
      </c>
      <c r="G68" s="14">
        <f t="shared" si="5"/>
        <v>45953.801537757063</v>
      </c>
      <c r="H68" s="14">
        <f t="shared" si="6"/>
        <v>9352.1505178772641</v>
      </c>
      <c r="I68" s="14">
        <f t="shared" si="7"/>
        <v>8474426.5949141961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6" customHeight="1" x14ac:dyDescent="0.2">
      <c r="B69" s="125">
        <f t="shared" si="0"/>
        <v>57</v>
      </c>
      <c r="C69" s="125">
        <f t="shared" si="1"/>
        <v>5</v>
      </c>
      <c r="D69" s="125" t="str">
        <f t="shared" si="2"/>
        <v>Amort</v>
      </c>
      <c r="E69" s="14">
        <f t="shared" si="3"/>
        <v>8474426.5949141961</v>
      </c>
      <c r="F69" s="14">
        <f t="shared" si="4"/>
        <v>55305.952055634327</v>
      </c>
      <c r="G69" s="14">
        <f t="shared" si="5"/>
        <v>45903.144055785233</v>
      </c>
      <c r="H69" s="14">
        <f t="shared" si="6"/>
        <v>9402.8079998490939</v>
      </c>
      <c r="I69" s="14">
        <f t="shared" si="7"/>
        <v>8465023.7869143467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6" customHeight="1" x14ac:dyDescent="0.2">
      <c r="B70" s="125">
        <f t="shared" si="0"/>
        <v>58</v>
      </c>
      <c r="C70" s="125">
        <f t="shared" si="1"/>
        <v>5</v>
      </c>
      <c r="D70" s="125" t="str">
        <f t="shared" si="2"/>
        <v>Amort</v>
      </c>
      <c r="E70" s="14">
        <f t="shared" si="3"/>
        <v>8465023.7869143467</v>
      </c>
      <c r="F70" s="14">
        <f t="shared" si="4"/>
        <v>55305.952055634327</v>
      </c>
      <c r="G70" s="14">
        <f t="shared" si="5"/>
        <v>45852.212179119379</v>
      </c>
      <c r="H70" s="14">
        <f t="shared" si="6"/>
        <v>9453.7398765149483</v>
      </c>
      <c r="I70" s="14">
        <f t="shared" si="7"/>
        <v>8455570.0470378324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6" customHeight="1" x14ac:dyDescent="0.2">
      <c r="B71" s="125">
        <f t="shared" si="0"/>
        <v>59</v>
      </c>
      <c r="C71" s="125">
        <f t="shared" si="1"/>
        <v>5</v>
      </c>
      <c r="D71" s="125" t="str">
        <f t="shared" si="2"/>
        <v>Amort</v>
      </c>
      <c r="E71" s="14">
        <f t="shared" si="3"/>
        <v>8455570.0470378324</v>
      </c>
      <c r="F71" s="14">
        <f t="shared" si="4"/>
        <v>55305.952055634327</v>
      </c>
      <c r="G71" s="14">
        <f t="shared" si="5"/>
        <v>45801.004421454927</v>
      </c>
      <c r="H71" s="14">
        <f t="shared" si="6"/>
        <v>9504.9476341793998</v>
      </c>
      <c r="I71" s="14">
        <f t="shared" si="7"/>
        <v>8446065.0994036533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6" customHeight="1" x14ac:dyDescent="0.2">
      <c r="B72" s="125">
        <f t="shared" si="0"/>
        <v>60</v>
      </c>
      <c r="C72" s="125">
        <f t="shared" si="1"/>
        <v>5</v>
      </c>
      <c r="D72" s="125" t="str">
        <f t="shared" si="2"/>
        <v>Amort</v>
      </c>
      <c r="E72" s="14">
        <f t="shared" si="3"/>
        <v>8446065.0994036533</v>
      </c>
      <c r="F72" s="14">
        <f t="shared" si="4"/>
        <v>55305.952055634327</v>
      </c>
      <c r="G72" s="14">
        <f t="shared" si="5"/>
        <v>45749.519288436459</v>
      </c>
      <c r="H72" s="14">
        <f t="shared" si="6"/>
        <v>9556.4327671978681</v>
      </c>
      <c r="I72" s="14">
        <f t="shared" si="7"/>
        <v>8436508.6666364558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6" customHeight="1" x14ac:dyDescent="0.2">
      <c r="B73" s="127">
        <f t="shared" si="0"/>
        <v>61</v>
      </c>
      <c r="C73" s="127">
        <f t="shared" si="1"/>
        <v>6</v>
      </c>
      <c r="D73" s="127" t="str">
        <f t="shared" si="2"/>
        <v>Amort</v>
      </c>
      <c r="E73" s="50">
        <f t="shared" si="3"/>
        <v>8436508.6666364558</v>
      </c>
      <c r="F73" s="50">
        <f t="shared" si="4"/>
        <v>55305.952055634327</v>
      </c>
      <c r="G73" s="50">
        <f t="shared" si="5"/>
        <v>45697.755277614138</v>
      </c>
      <c r="H73" s="50">
        <f t="shared" si="6"/>
        <v>9608.1967780201885</v>
      </c>
      <c r="I73" s="50">
        <f t="shared" si="7"/>
        <v>8426900.4698584359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6" customHeight="1" x14ac:dyDescent="0.2">
      <c r="B74" s="127">
        <f t="shared" si="0"/>
        <v>62</v>
      </c>
      <c r="C74" s="127">
        <f t="shared" si="1"/>
        <v>6</v>
      </c>
      <c r="D74" s="127" t="str">
        <f t="shared" si="2"/>
        <v>Amort</v>
      </c>
      <c r="E74" s="50">
        <f t="shared" si="3"/>
        <v>8426900.4698584359</v>
      </c>
      <c r="F74" s="50">
        <f t="shared" si="4"/>
        <v>55305.952055634327</v>
      </c>
      <c r="G74" s="50">
        <f t="shared" si="5"/>
        <v>45645.710878399863</v>
      </c>
      <c r="H74" s="50">
        <f t="shared" si="6"/>
        <v>9660.241177234464</v>
      </c>
      <c r="I74" s="50">
        <f t="shared" si="7"/>
        <v>8417240.2286812011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6" customHeight="1" x14ac:dyDescent="0.2">
      <c r="B75" s="127">
        <f t="shared" si="0"/>
        <v>63</v>
      </c>
      <c r="C75" s="127">
        <f t="shared" si="1"/>
        <v>6</v>
      </c>
      <c r="D75" s="127" t="str">
        <f t="shared" si="2"/>
        <v>Amort</v>
      </c>
      <c r="E75" s="50">
        <f t="shared" si="3"/>
        <v>8417240.2286812011</v>
      </c>
      <c r="F75" s="50">
        <f t="shared" si="4"/>
        <v>55305.952055634327</v>
      </c>
      <c r="G75" s="50">
        <f t="shared" si="5"/>
        <v>45593.384572023177</v>
      </c>
      <c r="H75" s="50">
        <f t="shared" si="6"/>
        <v>9712.5674836111502</v>
      </c>
      <c r="I75" s="50">
        <f t="shared" si="7"/>
        <v>8407527.6611975897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6" customHeight="1" x14ac:dyDescent="0.2">
      <c r="B76" s="127">
        <f t="shared" si="0"/>
        <v>64</v>
      </c>
      <c r="C76" s="127">
        <f t="shared" si="1"/>
        <v>6</v>
      </c>
      <c r="D76" s="127" t="str">
        <f t="shared" si="2"/>
        <v>Amort</v>
      </c>
      <c r="E76" s="50">
        <f t="shared" si="3"/>
        <v>8407527.6611975897</v>
      </c>
      <c r="F76" s="50">
        <f t="shared" si="4"/>
        <v>55305.952055634327</v>
      </c>
      <c r="G76" s="50">
        <f t="shared" si="5"/>
        <v>45540.774831486946</v>
      </c>
      <c r="H76" s="50">
        <f t="shared" si="6"/>
        <v>9765.1772241473809</v>
      </c>
      <c r="I76" s="50">
        <f t="shared" si="7"/>
        <v>8397762.4839734416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6" customHeight="1" x14ac:dyDescent="0.2">
      <c r="B77" s="127">
        <f t="shared" si="0"/>
        <v>65</v>
      </c>
      <c r="C77" s="127">
        <f t="shared" si="1"/>
        <v>6</v>
      </c>
      <c r="D77" s="127" t="str">
        <f t="shared" si="2"/>
        <v>Amort</v>
      </c>
      <c r="E77" s="50">
        <f t="shared" si="3"/>
        <v>8397762.4839734416</v>
      </c>
      <c r="F77" s="50">
        <f t="shared" si="4"/>
        <v>55305.952055634327</v>
      </c>
      <c r="G77" s="50">
        <f t="shared" si="5"/>
        <v>45487.880121522809</v>
      </c>
      <c r="H77" s="50">
        <f t="shared" si="6"/>
        <v>9818.0719341115182</v>
      </c>
      <c r="I77" s="50">
        <f t="shared" si="7"/>
        <v>8387944.4120393302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6" customHeight="1" x14ac:dyDescent="0.2">
      <c r="B78" s="127">
        <f t="shared" si="0"/>
        <v>66</v>
      </c>
      <c r="C78" s="127">
        <f t="shared" si="1"/>
        <v>6</v>
      </c>
      <c r="D78" s="127" t="str">
        <f t="shared" si="2"/>
        <v>Amort</v>
      </c>
      <c r="E78" s="50">
        <f t="shared" si="3"/>
        <v>8387944.4120393302</v>
      </c>
      <c r="F78" s="50">
        <f t="shared" si="4"/>
        <v>55305.952055634327</v>
      </c>
      <c r="G78" s="50">
        <f t="shared" si="5"/>
        <v>45434.698898546376</v>
      </c>
      <c r="H78" s="50">
        <f t="shared" si="6"/>
        <v>9871.253157087951</v>
      </c>
      <c r="I78" s="50">
        <f t="shared" si="7"/>
        <v>8378073.1588822426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6" customHeight="1" x14ac:dyDescent="0.2">
      <c r="B79" s="127">
        <f t="shared" ref="B79:B132" si="8">B78+1</f>
        <v>67</v>
      </c>
      <c r="C79" s="127">
        <f t="shared" ref="C79:C132" si="9">CEILING(B79/12,1)</f>
        <v>6</v>
      </c>
      <c r="D79" s="127" t="str">
        <f t="shared" ref="D79:D132" si="10">IF(B79&lt;=$C$7,"IO","Amort")</f>
        <v>Amort</v>
      </c>
      <c r="E79" s="50">
        <f t="shared" ref="E79:E132" si="11">I78</f>
        <v>8378073.1588822426</v>
      </c>
      <c r="F79" s="50">
        <f t="shared" ref="F79:F132" si="12">IF(D79="IO",E79*$C$9,$C$10)</f>
        <v>55305.952055634327</v>
      </c>
      <c r="G79" s="50">
        <f t="shared" ref="G79:G132" si="13">E79*$C$9</f>
        <v>45381.22961061215</v>
      </c>
      <c r="H79" s="50">
        <f t="shared" ref="H79:H132" si="14">F79-G79</f>
        <v>9924.7224450221765</v>
      </c>
      <c r="I79" s="50">
        <f t="shared" ref="I79:I132" si="15">E79-H79</f>
        <v>8368148.4364372203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6" customHeight="1" x14ac:dyDescent="0.2">
      <c r="B80" s="127">
        <f t="shared" si="8"/>
        <v>68</v>
      </c>
      <c r="C80" s="127">
        <f t="shared" si="9"/>
        <v>6</v>
      </c>
      <c r="D80" s="127" t="str">
        <f t="shared" si="10"/>
        <v>Amort</v>
      </c>
      <c r="E80" s="50">
        <f t="shared" si="11"/>
        <v>8368148.4364372203</v>
      </c>
      <c r="F80" s="50">
        <f t="shared" si="12"/>
        <v>55305.952055634327</v>
      </c>
      <c r="G80" s="50">
        <f t="shared" si="13"/>
        <v>45327.470697368277</v>
      </c>
      <c r="H80" s="50">
        <f t="shared" si="14"/>
        <v>9978.4813582660499</v>
      </c>
      <c r="I80" s="50">
        <f t="shared" si="15"/>
        <v>8358169.9550789539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6" customHeight="1" x14ac:dyDescent="0.2">
      <c r="B81" s="127">
        <f t="shared" si="8"/>
        <v>69</v>
      </c>
      <c r="C81" s="127">
        <f t="shared" si="9"/>
        <v>6</v>
      </c>
      <c r="D81" s="127" t="str">
        <f t="shared" si="10"/>
        <v>Amort</v>
      </c>
      <c r="E81" s="50">
        <f t="shared" si="11"/>
        <v>8358169.9550789539</v>
      </c>
      <c r="F81" s="50">
        <f t="shared" si="12"/>
        <v>55305.952055634327</v>
      </c>
      <c r="G81" s="50">
        <f t="shared" si="13"/>
        <v>45273.420590011003</v>
      </c>
      <c r="H81" s="50">
        <f t="shared" si="14"/>
        <v>10032.531465623324</v>
      </c>
      <c r="I81" s="50">
        <f t="shared" si="15"/>
        <v>8348137.4236133303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6" customHeight="1" x14ac:dyDescent="0.2">
      <c r="B82" s="127">
        <f t="shared" si="8"/>
        <v>70</v>
      </c>
      <c r="C82" s="127">
        <f t="shared" si="9"/>
        <v>6</v>
      </c>
      <c r="D82" s="127" t="str">
        <f t="shared" si="10"/>
        <v>Amort</v>
      </c>
      <c r="E82" s="50">
        <f t="shared" si="11"/>
        <v>8348137.4236133303</v>
      </c>
      <c r="F82" s="50">
        <f t="shared" si="12"/>
        <v>55305.952055634327</v>
      </c>
      <c r="G82" s="50">
        <f t="shared" si="13"/>
        <v>45219.077711238875</v>
      </c>
      <c r="H82" s="50">
        <f t="shared" si="14"/>
        <v>10086.874344395452</v>
      </c>
      <c r="I82" s="50">
        <f t="shared" si="15"/>
        <v>8338050.5492689349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6" customHeight="1" x14ac:dyDescent="0.2">
      <c r="B83" s="127">
        <f t="shared" si="8"/>
        <v>71</v>
      </c>
      <c r="C83" s="127">
        <f t="shared" si="9"/>
        <v>6</v>
      </c>
      <c r="D83" s="127" t="str">
        <f t="shared" si="10"/>
        <v>Amort</v>
      </c>
      <c r="E83" s="50">
        <f t="shared" si="11"/>
        <v>8338050.5492689349</v>
      </c>
      <c r="F83" s="50">
        <f t="shared" si="12"/>
        <v>55305.952055634327</v>
      </c>
      <c r="G83" s="50">
        <f t="shared" si="13"/>
        <v>45164.440475206735</v>
      </c>
      <c r="H83" s="50">
        <f t="shared" si="14"/>
        <v>10141.511580427592</v>
      </c>
      <c r="I83" s="50">
        <f t="shared" si="15"/>
        <v>8327909.0376885077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6" customHeight="1" x14ac:dyDescent="0.2">
      <c r="B84" s="127">
        <f t="shared" si="8"/>
        <v>72</v>
      </c>
      <c r="C84" s="127">
        <f t="shared" si="9"/>
        <v>6</v>
      </c>
      <c r="D84" s="127" t="str">
        <f t="shared" si="10"/>
        <v>Amort</v>
      </c>
      <c r="E84" s="50">
        <f t="shared" si="11"/>
        <v>8327909.0376885077</v>
      </c>
      <c r="F84" s="50">
        <f t="shared" si="12"/>
        <v>55305.952055634327</v>
      </c>
      <c r="G84" s="50">
        <f t="shared" si="13"/>
        <v>45109.50728747942</v>
      </c>
      <c r="H84" s="50">
        <f t="shared" si="14"/>
        <v>10196.444768154906</v>
      </c>
      <c r="I84" s="50">
        <f t="shared" si="15"/>
        <v>8317712.5929203527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6" customHeight="1" x14ac:dyDescent="0.2">
      <c r="B85" s="125">
        <f t="shared" si="8"/>
        <v>73</v>
      </c>
      <c r="C85" s="125">
        <f t="shared" si="9"/>
        <v>7</v>
      </c>
      <c r="D85" s="125" t="str">
        <f t="shared" si="10"/>
        <v>Amort</v>
      </c>
      <c r="E85" s="14">
        <f t="shared" si="11"/>
        <v>8317712.5929203527</v>
      </c>
      <c r="F85" s="14">
        <f t="shared" si="12"/>
        <v>55305.952055634327</v>
      </c>
      <c r="G85" s="14">
        <f t="shared" si="13"/>
        <v>45054.276544985245</v>
      </c>
      <c r="H85" s="14">
        <f t="shared" si="14"/>
        <v>10251.675510649082</v>
      </c>
      <c r="I85" s="14">
        <f t="shared" si="15"/>
        <v>8307460.9174097041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6" customHeight="1" x14ac:dyDescent="0.2">
      <c r="B86" s="125">
        <f t="shared" si="8"/>
        <v>74</v>
      </c>
      <c r="C86" s="125">
        <f t="shared" si="9"/>
        <v>7</v>
      </c>
      <c r="D86" s="125" t="str">
        <f t="shared" si="10"/>
        <v>Amort</v>
      </c>
      <c r="E86" s="14">
        <f t="shared" si="11"/>
        <v>8307460.9174097041</v>
      </c>
      <c r="F86" s="14">
        <f t="shared" si="12"/>
        <v>55305.952055634327</v>
      </c>
      <c r="G86" s="14">
        <f t="shared" si="13"/>
        <v>44998.746635969233</v>
      </c>
      <c r="H86" s="14">
        <f t="shared" si="14"/>
        <v>10307.205419665093</v>
      </c>
      <c r="I86" s="14">
        <f t="shared" si="15"/>
        <v>8297153.7119900389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6" customHeight="1" x14ac:dyDescent="0.2">
      <c r="B87" s="125">
        <f t="shared" si="8"/>
        <v>75</v>
      </c>
      <c r="C87" s="125">
        <f t="shared" si="9"/>
        <v>7</v>
      </c>
      <c r="D87" s="125" t="str">
        <f t="shared" si="10"/>
        <v>Amort</v>
      </c>
      <c r="E87" s="14">
        <f t="shared" si="11"/>
        <v>8297153.7119900389</v>
      </c>
      <c r="F87" s="14">
        <f t="shared" si="12"/>
        <v>55305.952055634327</v>
      </c>
      <c r="G87" s="14">
        <f t="shared" si="13"/>
        <v>44942.915939946048</v>
      </c>
      <c r="H87" s="14">
        <f t="shared" si="14"/>
        <v>10363.036115688279</v>
      </c>
      <c r="I87" s="14">
        <f t="shared" si="15"/>
        <v>8286790.6758743506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6" customHeight="1" x14ac:dyDescent="0.2">
      <c r="B88" s="125">
        <f t="shared" si="8"/>
        <v>76</v>
      </c>
      <c r="C88" s="125">
        <f t="shared" si="9"/>
        <v>7</v>
      </c>
      <c r="D88" s="125" t="str">
        <f t="shared" si="10"/>
        <v>Amort</v>
      </c>
      <c r="E88" s="14">
        <f t="shared" si="11"/>
        <v>8286790.6758743506</v>
      </c>
      <c r="F88" s="14">
        <f t="shared" si="12"/>
        <v>55305.952055634327</v>
      </c>
      <c r="G88" s="14">
        <f t="shared" si="13"/>
        <v>44886.782827652736</v>
      </c>
      <c r="H88" s="14">
        <f t="shared" si="14"/>
        <v>10419.169227981591</v>
      </c>
      <c r="I88" s="14">
        <f t="shared" si="15"/>
        <v>8276371.5066463687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6" customHeight="1" x14ac:dyDescent="0.2">
      <c r="B89" s="125">
        <f t="shared" si="8"/>
        <v>77</v>
      </c>
      <c r="C89" s="125">
        <f t="shared" si="9"/>
        <v>7</v>
      </c>
      <c r="D89" s="125" t="str">
        <f t="shared" si="10"/>
        <v>Amort</v>
      </c>
      <c r="E89" s="14">
        <f t="shared" si="11"/>
        <v>8276371.5066463687</v>
      </c>
      <c r="F89" s="14">
        <f t="shared" si="12"/>
        <v>55305.952055634327</v>
      </c>
      <c r="G89" s="14">
        <f t="shared" si="13"/>
        <v>44830.345661001164</v>
      </c>
      <c r="H89" s="14">
        <f t="shared" si="14"/>
        <v>10475.606394633163</v>
      </c>
      <c r="I89" s="14">
        <f t="shared" si="15"/>
        <v>8265895.9002517359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6" customHeight="1" x14ac:dyDescent="0.2">
      <c r="B90" s="125">
        <f t="shared" si="8"/>
        <v>78</v>
      </c>
      <c r="C90" s="125">
        <f t="shared" si="9"/>
        <v>7</v>
      </c>
      <c r="D90" s="125" t="str">
        <f t="shared" si="10"/>
        <v>Amort</v>
      </c>
      <c r="E90" s="14">
        <f t="shared" si="11"/>
        <v>8265895.9002517359</v>
      </c>
      <c r="F90" s="14">
        <f t="shared" si="12"/>
        <v>55305.952055634327</v>
      </c>
      <c r="G90" s="14">
        <f t="shared" si="13"/>
        <v>44773.602793030237</v>
      </c>
      <c r="H90" s="14">
        <f t="shared" si="14"/>
        <v>10532.34926260409</v>
      </c>
      <c r="I90" s="14">
        <f t="shared" si="15"/>
        <v>8255363.5509891314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6" customHeight="1" x14ac:dyDescent="0.2">
      <c r="B91" s="125">
        <f t="shared" si="8"/>
        <v>79</v>
      </c>
      <c r="C91" s="125">
        <f t="shared" si="9"/>
        <v>7</v>
      </c>
      <c r="D91" s="125" t="str">
        <f t="shared" si="10"/>
        <v>Amort</v>
      </c>
      <c r="E91" s="14">
        <f t="shared" si="11"/>
        <v>8255363.5509891314</v>
      </c>
      <c r="F91" s="14">
        <f t="shared" si="12"/>
        <v>55305.952055634327</v>
      </c>
      <c r="G91" s="14">
        <f t="shared" si="13"/>
        <v>44716.552567857798</v>
      </c>
      <c r="H91" s="14">
        <f t="shared" si="14"/>
        <v>10589.399487776529</v>
      </c>
      <c r="I91" s="14">
        <f t="shared" si="15"/>
        <v>8244774.1515013548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6" customHeight="1" x14ac:dyDescent="0.2">
      <c r="B92" s="125">
        <f t="shared" si="8"/>
        <v>80</v>
      </c>
      <c r="C92" s="125">
        <f t="shared" si="9"/>
        <v>7</v>
      </c>
      <c r="D92" s="125" t="str">
        <f t="shared" si="10"/>
        <v>Amort</v>
      </c>
      <c r="E92" s="14">
        <f t="shared" si="11"/>
        <v>8244774.1515013548</v>
      </c>
      <c r="F92" s="14">
        <f t="shared" si="12"/>
        <v>55305.952055634327</v>
      </c>
      <c r="G92" s="14">
        <f t="shared" si="13"/>
        <v>44659.193320632337</v>
      </c>
      <c r="H92" s="14">
        <f t="shared" si="14"/>
        <v>10646.758735001989</v>
      </c>
      <c r="I92" s="14">
        <f t="shared" si="15"/>
        <v>8234127.3927663527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6" customHeight="1" x14ac:dyDescent="0.2">
      <c r="B93" s="125">
        <f t="shared" si="8"/>
        <v>81</v>
      </c>
      <c r="C93" s="125">
        <f t="shared" si="9"/>
        <v>7</v>
      </c>
      <c r="D93" s="125" t="str">
        <f t="shared" si="10"/>
        <v>Amort</v>
      </c>
      <c r="E93" s="14">
        <f t="shared" si="11"/>
        <v>8234127.3927663527</v>
      </c>
      <c r="F93" s="14">
        <f t="shared" si="12"/>
        <v>55305.952055634327</v>
      </c>
      <c r="G93" s="14">
        <f t="shared" si="13"/>
        <v>44601.523377484409</v>
      </c>
      <c r="H93" s="14">
        <f t="shared" si="14"/>
        <v>10704.428678149918</v>
      </c>
      <c r="I93" s="14">
        <f t="shared" si="15"/>
        <v>8223422.9640882025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6" customHeight="1" x14ac:dyDescent="0.2">
      <c r="B94" s="125">
        <f t="shared" si="8"/>
        <v>82</v>
      </c>
      <c r="C94" s="125">
        <f t="shared" si="9"/>
        <v>7</v>
      </c>
      <c r="D94" s="125" t="str">
        <f t="shared" si="10"/>
        <v>Amort</v>
      </c>
      <c r="E94" s="14">
        <f t="shared" si="11"/>
        <v>8223422.9640882025</v>
      </c>
      <c r="F94" s="14">
        <f t="shared" si="12"/>
        <v>55305.952055634327</v>
      </c>
      <c r="G94" s="14">
        <f t="shared" si="13"/>
        <v>44543.541055477763</v>
      </c>
      <c r="H94" s="14">
        <f t="shared" si="14"/>
        <v>10762.411000156564</v>
      </c>
      <c r="I94" s="14">
        <f t="shared" si="15"/>
        <v>8212660.5530880457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6" customHeight="1" x14ac:dyDescent="0.2">
      <c r="B95" s="125">
        <f t="shared" si="8"/>
        <v>83</v>
      </c>
      <c r="C95" s="125">
        <f t="shared" si="9"/>
        <v>7</v>
      </c>
      <c r="D95" s="125" t="str">
        <f t="shared" si="10"/>
        <v>Amort</v>
      </c>
      <c r="E95" s="14">
        <f t="shared" si="11"/>
        <v>8212660.5530880457</v>
      </c>
      <c r="F95" s="14">
        <f t="shared" si="12"/>
        <v>55305.952055634327</v>
      </c>
      <c r="G95" s="14">
        <f t="shared" si="13"/>
        <v>44485.244662560246</v>
      </c>
      <c r="H95" s="14">
        <f t="shared" si="14"/>
        <v>10820.707393074081</v>
      </c>
      <c r="I95" s="14">
        <f t="shared" si="15"/>
        <v>8201839.8456949713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6" customHeight="1" x14ac:dyDescent="0.2">
      <c r="B96" s="125">
        <f t="shared" si="8"/>
        <v>84</v>
      </c>
      <c r="C96" s="125">
        <f t="shared" si="9"/>
        <v>7</v>
      </c>
      <c r="D96" s="125" t="str">
        <f t="shared" si="10"/>
        <v>Amort</v>
      </c>
      <c r="E96" s="14">
        <f t="shared" si="11"/>
        <v>8201839.8456949713</v>
      </c>
      <c r="F96" s="14">
        <f t="shared" si="12"/>
        <v>55305.952055634327</v>
      </c>
      <c r="G96" s="14">
        <f t="shared" si="13"/>
        <v>44426.632497514431</v>
      </c>
      <c r="H96" s="14">
        <f t="shared" si="14"/>
        <v>10879.319558119896</v>
      </c>
      <c r="I96" s="14">
        <f t="shared" si="15"/>
        <v>8190960.5261368509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6" customHeight="1" x14ac:dyDescent="0.2">
      <c r="B97" s="127">
        <f t="shared" si="8"/>
        <v>85</v>
      </c>
      <c r="C97" s="127">
        <f t="shared" si="9"/>
        <v>8</v>
      </c>
      <c r="D97" s="127" t="str">
        <f t="shared" si="10"/>
        <v>Amort</v>
      </c>
      <c r="E97" s="50">
        <f t="shared" si="11"/>
        <v>8190960.5261368509</v>
      </c>
      <c r="F97" s="50">
        <f t="shared" si="12"/>
        <v>55305.952055634327</v>
      </c>
      <c r="G97" s="50">
        <f t="shared" si="13"/>
        <v>44367.702849907946</v>
      </c>
      <c r="H97" s="50">
        <f t="shared" si="14"/>
        <v>10938.249205726381</v>
      </c>
      <c r="I97" s="50">
        <f t="shared" si="15"/>
        <v>8180022.2769311247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6" customHeight="1" x14ac:dyDescent="0.2">
      <c r="B98" s="127">
        <f t="shared" si="8"/>
        <v>86</v>
      </c>
      <c r="C98" s="127">
        <f t="shared" si="9"/>
        <v>8</v>
      </c>
      <c r="D98" s="127" t="str">
        <f t="shared" si="10"/>
        <v>Amort</v>
      </c>
      <c r="E98" s="50">
        <f t="shared" si="11"/>
        <v>8180022.2769311247</v>
      </c>
      <c r="F98" s="50">
        <f t="shared" si="12"/>
        <v>55305.952055634327</v>
      </c>
      <c r="G98" s="50">
        <f t="shared" si="13"/>
        <v>44308.454000043595</v>
      </c>
      <c r="H98" s="50">
        <f t="shared" si="14"/>
        <v>10997.498055590731</v>
      </c>
      <c r="I98" s="50">
        <f t="shared" si="15"/>
        <v>8169024.7788755344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6" customHeight="1" x14ac:dyDescent="0.2">
      <c r="B99" s="127">
        <f t="shared" si="8"/>
        <v>87</v>
      </c>
      <c r="C99" s="127">
        <f t="shared" si="9"/>
        <v>8</v>
      </c>
      <c r="D99" s="127" t="str">
        <f t="shared" si="10"/>
        <v>Amort</v>
      </c>
      <c r="E99" s="50">
        <f t="shared" si="11"/>
        <v>8169024.7788755344</v>
      </c>
      <c r="F99" s="50">
        <f t="shared" si="12"/>
        <v>55305.952055634327</v>
      </c>
      <c r="G99" s="50">
        <f t="shared" si="13"/>
        <v>44248.884218909145</v>
      </c>
      <c r="H99" s="50">
        <f t="shared" si="14"/>
        <v>11057.067836725182</v>
      </c>
      <c r="I99" s="50">
        <f t="shared" si="15"/>
        <v>8157967.7110388093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6" customHeight="1" x14ac:dyDescent="0.2">
      <c r="B100" s="127">
        <f t="shared" si="8"/>
        <v>88</v>
      </c>
      <c r="C100" s="127">
        <f t="shared" si="9"/>
        <v>8</v>
      </c>
      <c r="D100" s="127" t="str">
        <f t="shared" si="10"/>
        <v>Amort</v>
      </c>
      <c r="E100" s="50">
        <f t="shared" si="11"/>
        <v>8157967.7110388093</v>
      </c>
      <c r="F100" s="50">
        <f t="shared" si="12"/>
        <v>55305.952055634327</v>
      </c>
      <c r="G100" s="50">
        <f t="shared" si="13"/>
        <v>44188.991768126885</v>
      </c>
      <c r="H100" s="50">
        <f t="shared" si="14"/>
        <v>11116.960287507442</v>
      </c>
      <c r="I100" s="50">
        <f t="shared" si="15"/>
        <v>8146850.7507513016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6" customHeight="1" x14ac:dyDescent="0.2">
      <c r="B101" s="127">
        <f t="shared" si="8"/>
        <v>89</v>
      </c>
      <c r="C101" s="127">
        <f t="shared" si="9"/>
        <v>8</v>
      </c>
      <c r="D101" s="127" t="str">
        <f t="shared" si="10"/>
        <v>Amort</v>
      </c>
      <c r="E101" s="50">
        <f t="shared" si="11"/>
        <v>8146850.7507513016</v>
      </c>
      <c r="F101" s="50">
        <f t="shared" si="12"/>
        <v>55305.952055634327</v>
      </c>
      <c r="G101" s="50">
        <f t="shared" si="13"/>
        <v>44128.774899902884</v>
      </c>
      <c r="H101" s="50">
        <f t="shared" si="14"/>
        <v>11177.177155731442</v>
      </c>
      <c r="I101" s="50">
        <f t="shared" si="15"/>
        <v>8135673.5735955704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6" customHeight="1" x14ac:dyDescent="0.2">
      <c r="B102" s="127">
        <f t="shared" si="8"/>
        <v>90</v>
      </c>
      <c r="C102" s="127">
        <f t="shared" si="9"/>
        <v>8</v>
      </c>
      <c r="D102" s="127" t="str">
        <f t="shared" si="10"/>
        <v>Amort</v>
      </c>
      <c r="E102" s="50">
        <f t="shared" si="11"/>
        <v>8135673.5735955704</v>
      </c>
      <c r="F102" s="50">
        <f t="shared" si="12"/>
        <v>55305.952055634327</v>
      </c>
      <c r="G102" s="50">
        <f t="shared" si="13"/>
        <v>44068.23185697601</v>
      </c>
      <c r="H102" s="50">
        <f t="shared" si="14"/>
        <v>11237.720198658317</v>
      </c>
      <c r="I102" s="50">
        <f t="shared" si="15"/>
        <v>8124435.8533969121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6" customHeight="1" x14ac:dyDescent="0.2">
      <c r="B103" s="127">
        <f t="shared" si="8"/>
        <v>91</v>
      </c>
      <c r="C103" s="127">
        <f t="shared" si="9"/>
        <v>8</v>
      </c>
      <c r="D103" s="127" t="str">
        <f t="shared" si="10"/>
        <v>Amort</v>
      </c>
      <c r="E103" s="50">
        <f t="shared" si="11"/>
        <v>8124435.8533969121</v>
      </c>
      <c r="F103" s="50">
        <f t="shared" si="12"/>
        <v>55305.952055634327</v>
      </c>
      <c r="G103" s="50">
        <f t="shared" si="13"/>
        <v>44007.360872566605</v>
      </c>
      <c r="H103" s="50">
        <f t="shared" si="14"/>
        <v>11298.591183067721</v>
      </c>
      <c r="I103" s="50">
        <f t="shared" si="15"/>
        <v>8113137.2622138448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6" customHeight="1" x14ac:dyDescent="0.2">
      <c r="B104" s="127">
        <f t="shared" si="8"/>
        <v>92</v>
      </c>
      <c r="C104" s="127">
        <f t="shared" si="9"/>
        <v>8</v>
      </c>
      <c r="D104" s="127" t="str">
        <f t="shared" si="10"/>
        <v>Amort</v>
      </c>
      <c r="E104" s="50">
        <f t="shared" si="11"/>
        <v>8113137.2622138448</v>
      </c>
      <c r="F104" s="50">
        <f t="shared" si="12"/>
        <v>55305.952055634327</v>
      </c>
      <c r="G104" s="50">
        <f t="shared" si="13"/>
        <v>43946.160170324991</v>
      </c>
      <c r="H104" s="50">
        <f t="shared" si="14"/>
        <v>11359.791885309336</v>
      </c>
      <c r="I104" s="50">
        <f t="shared" si="15"/>
        <v>8101777.4703285359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6" customHeight="1" x14ac:dyDescent="0.2">
      <c r="B105" s="127">
        <f t="shared" si="8"/>
        <v>93</v>
      </c>
      <c r="C105" s="127">
        <f t="shared" si="9"/>
        <v>8</v>
      </c>
      <c r="D105" s="127" t="str">
        <f t="shared" si="10"/>
        <v>Amort</v>
      </c>
      <c r="E105" s="50">
        <f t="shared" si="11"/>
        <v>8101777.4703285359</v>
      </c>
      <c r="F105" s="50">
        <f t="shared" si="12"/>
        <v>55305.952055634327</v>
      </c>
      <c r="G105" s="50">
        <f t="shared" si="13"/>
        <v>43884.627964279571</v>
      </c>
      <c r="H105" s="50">
        <f t="shared" si="14"/>
        <v>11421.324091354756</v>
      </c>
      <c r="I105" s="50">
        <f t="shared" si="15"/>
        <v>8090356.1462371815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6" customHeight="1" x14ac:dyDescent="0.2">
      <c r="B106" s="127">
        <f t="shared" si="8"/>
        <v>94</v>
      </c>
      <c r="C106" s="127">
        <f t="shared" si="9"/>
        <v>8</v>
      </c>
      <c r="D106" s="127" t="str">
        <f t="shared" si="10"/>
        <v>Amort</v>
      </c>
      <c r="E106" s="50">
        <f t="shared" si="11"/>
        <v>8090356.1462371815</v>
      </c>
      <c r="F106" s="50">
        <f t="shared" si="12"/>
        <v>55305.952055634327</v>
      </c>
      <c r="G106" s="50">
        <f t="shared" si="13"/>
        <v>43822.762458784731</v>
      </c>
      <c r="H106" s="50">
        <f t="shared" si="14"/>
        <v>11483.189596849596</v>
      </c>
      <c r="I106" s="50">
        <f t="shared" si="15"/>
        <v>8078872.956640332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6" customHeight="1" x14ac:dyDescent="0.2">
      <c r="B107" s="127">
        <f t="shared" si="8"/>
        <v>95</v>
      </c>
      <c r="C107" s="127">
        <f t="shared" si="9"/>
        <v>8</v>
      </c>
      <c r="D107" s="127" t="str">
        <f t="shared" si="10"/>
        <v>Amort</v>
      </c>
      <c r="E107" s="50">
        <f t="shared" si="11"/>
        <v>8078872.956640332</v>
      </c>
      <c r="F107" s="50">
        <f t="shared" si="12"/>
        <v>55305.952055634327</v>
      </c>
      <c r="G107" s="50">
        <f t="shared" si="13"/>
        <v>43760.561848468467</v>
      </c>
      <c r="H107" s="50">
        <f t="shared" si="14"/>
        <v>11545.390207165859</v>
      </c>
      <c r="I107" s="50">
        <f t="shared" si="15"/>
        <v>8067327.5664331662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6" customHeight="1" x14ac:dyDescent="0.2">
      <c r="B108" s="127">
        <f t="shared" si="8"/>
        <v>96</v>
      </c>
      <c r="C108" s="127">
        <f t="shared" si="9"/>
        <v>8</v>
      </c>
      <c r="D108" s="127" t="str">
        <f t="shared" si="10"/>
        <v>Amort</v>
      </c>
      <c r="E108" s="50">
        <f t="shared" si="11"/>
        <v>8067327.5664331662</v>
      </c>
      <c r="F108" s="50">
        <f t="shared" si="12"/>
        <v>55305.952055634327</v>
      </c>
      <c r="G108" s="50">
        <f t="shared" si="13"/>
        <v>43698.024318179654</v>
      </c>
      <c r="H108" s="50">
        <f t="shared" si="14"/>
        <v>11607.927737454673</v>
      </c>
      <c r="I108" s="50">
        <f t="shared" si="15"/>
        <v>8055719.6386957113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6" customHeight="1" x14ac:dyDescent="0.2">
      <c r="B109" s="125">
        <f t="shared" si="8"/>
        <v>97</v>
      </c>
      <c r="C109" s="125">
        <f t="shared" si="9"/>
        <v>9</v>
      </c>
      <c r="D109" s="125" t="str">
        <f t="shared" si="10"/>
        <v>Amort</v>
      </c>
      <c r="E109" s="14">
        <f t="shared" si="11"/>
        <v>8055719.6386957113</v>
      </c>
      <c r="F109" s="14">
        <f t="shared" si="12"/>
        <v>55305.952055634327</v>
      </c>
      <c r="G109" s="14">
        <f t="shared" si="13"/>
        <v>43635.148042935107</v>
      </c>
      <c r="H109" s="14">
        <f t="shared" si="14"/>
        <v>11670.80401269922</v>
      </c>
      <c r="I109" s="14">
        <f t="shared" si="15"/>
        <v>8044048.8346830122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6" customHeight="1" x14ac:dyDescent="0.2">
      <c r="B110" s="125">
        <f t="shared" si="8"/>
        <v>98</v>
      </c>
      <c r="C110" s="125">
        <f t="shared" si="9"/>
        <v>9</v>
      </c>
      <c r="D110" s="125" t="str">
        <f t="shared" si="10"/>
        <v>Amort</v>
      </c>
      <c r="E110" s="14">
        <f t="shared" si="11"/>
        <v>8044048.8346830122</v>
      </c>
      <c r="F110" s="14">
        <f t="shared" si="12"/>
        <v>55305.952055634327</v>
      </c>
      <c r="G110" s="14">
        <f t="shared" si="13"/>
        <v>43571.931187866321</v>
      </c>
      <c r="H110" s="14">
        <f t="shared" si="14"/>
        <v>11734.020867768006</v>
      </c>
      <c r="I110" s="14">
        <f t="shared" si="15"/>
        <v>8032314.8138152445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6" customHeight="1" x14ac:dyDescent="0.2">
      <c r="B111" s="125">
        <f t="shared" si="8"/>
        <v>99</v>
      </c>
      <c r="C111" s="125">
        <f t="shared" si="9"/>
        <v>9</v>
      </c>
      <c r="D111" s="125" t="str">
        <f t="shared" si="10"/>
        <v>Amort</v>
      </c>
      <c r="E111" s="14">
        <f t="shared" si="11"/>
        <v>8032314.8138152445</v>
      </c>
      <c r="F111" s="14">
        <f t="shared" si="12"/>
        <v>55305.952055634327</v>
      </c>
      <c r="G111" s="14">
        <f t="shared" si="13"/>
        <v>43508.371908165907</v>
      </c>
      <c r="H111" s="14">
        <f t="shared" si="14"/>
        <v>11797.580147468419</v>
      </c>
      <c r="I111" s="14">
        <f t="shared" si="15"/>
        <v>8020517.233667776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6" customHeight="1" x14ac:dyDescent="0.2">
      <c r="B112" s="125">
        <f t="shared" si="8"/>
        <v>100</v>
      </c>
      <c r="C112" s="125">
        <f t="shared" si="9"/>
        <v>9</v>
      </c>
      <c r="D112" s="125" t="str">
        <f t="shared" si="10"/>
        <v>Amort</v>
      </c>
      <c r="E112" s="14">
        <f t="shared" si="11"/>
        <v>8020517.233667776</v>
      </c>
      <c r="F112" s="14">
        <f t="shared" si="12"/>
        <v>55305.952055634327</v>
      </c>
      <c r="G112" s="14">
        <f t="shared" si="13"/>
        <v>43444.468349033785</v>
      </c>
      <c r="H112" s="14">
        <f t="shared" si="14"/>
        <v>11861.483706600542</v>
      </c>
      <c r="I112" s="14">
        <f t="shared" si="15"/>
        <v>8008655.749961175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6" customHeight="1" x14ac:dyDescent="0.2">
      <c r="B113" s="125">
        <f t="shared" si="8"/>
        <v>101</v>
      </c>
      <c r="C113" s="125">
        <f t="shared" si="9"/>
        <v>9</v>
      </c>
      <c r="D113" s="125" t="str">
        <f t="shared" si="10"/>
        <v>Amort</v>
      </c>
      <c r="E113" s="14">
        <f t="shared" si="11"/>
        <v>8008655.749961175</v>
      </c>
      <c r="F113" s="14">
        <f t="shared" si="12"/>
        <v>55305.952055634327</v>
      </c>
      <c r="G113" s="14">
        <f t="shared" si="13"/>
        <v>43380.218645623034</v>
      </c>
      <c r="H113" s="14">
        <f t="shared" si="14"/>
        <v>11925.733410011293</v>
      </c>
      <c r="I113" s="14">
        <f t="shared" si="15"/>
        <v>7996730.016551164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6" customHeight="1" x14ac:dyDescent="0.2">
      <c r="B114" s="125">
        <f t="shared" si="8"/>
        <v>102</v>
      </c>
      <c r="C114" s="125">
        <f t="shared" si="9"/>
        <v>9</v>
      </c>
      <c r="D114" s="125" t="str">
        <f t="shared" si="10"/>
        <v>Amort</v>
      </c>
      <c r="E114" s="14">
        <f t="shared" si="11"/>
        <v>7996730.016551164</v>
      </c>
      <c r="F114" s="14">
        <f t="shared" si="12"/>
        <v>55305.952055634327</v>
      </c>
      <c r="G114" s="14">
        <f t="shared" si="13"/>
        <v>43315.620922985472</v>
      </c>
      <c r="H114" s="14">
        <f t="shared" si="14"/>
        <v>11990.331132648855</v>
      </c>
      <c r="I114" s="14">
        <f t="shared" si="15"/>
        <v>7984739.6854185155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6" customHeight="1" x14ac:dyDescent="0.2">
      <c r="B115" s="125">
        <f t="shared" si="8"/>
        <v>103</v>
      </c>
      <c r="C115" s="125">
        <f t="shared" si="9"/>
        <v>9</v>
      </c>
      <c r="D115" s="125" t="str">
        <f t="shared" si="10"/>
        <v>Amort</v>
      </c>
      <c r="E115" s="14">
        <f t="shared" si="11"/>
        <v>7984739.6854185155</v>
      </c>
      <c r="F115" s="14">
        <f t="shared" si="12"/>
        <v>55305.952055634327</v>
      </c>
      <c r="G115" s="14">
        <f t="shared" si="13"/>
        <v>43250.673296016961</v>
      </c>
      <c r="H115" s="14">
        <f t="shared" si="14"/>
        <v>12055.278759617366</v>
      </c>
      <c r="I115" s="14">
        <f t="shared" si="15"/>
        <v>7972684.4066588981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6" customHeight="1" x14ac:dyDescent="0.2">
      <c r="B116" s="125">
        <f t="shared" si="8"/>
        <v>104</v>
      </c>
      <c r="C116" s="125">
        <f t="shared" si="9"/>
        <v>9</v>
      </c>
      <c r="D116" s="125" t="str">
        <f t="shared" si="10"/>
        <v>Amort</v>
      </c>
      <c r="E116" s="14">
        <f t="shared" si="11"/>
        <v>7972684.4066588981</v>
      </c>
      <c r="F116" s="14">
        <f t="shared" si="12"/>
        <v>55305.952055634327</v>
      </c>
      <c r="G116" s="14">
        <f t="shared" si="13"/>
        <v>43185.373869402363</v>
      </c>
      <c r="H116" s="14">
        <f t="shared" si="14"/>
        <v>12120.578186231964</v>
      </c>
      <c r="I116" s="14">
        <f t="shared" si="15"/>
        <v>7960563.8284726664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6" customHeight="1" x14ac:dyDescent="0.2">
      <c r="B117" s="125">
        <f t="shared" si="8"/>
        <v>105</v>
      </c>
      <c r="C117" s="125">
        <f t="shared" si="9"/>
        <v>9</v>
      </c>
      <c r="D117" s="125" t="str">
        <f t="shared" si="10"/>
        <v>Amort</v>
      </c>
      <c r="E117" s="14">
        <f t="shared" si="11"/>
        <v>7960563.8284726664</v>
      </c>
      <c r="F117" s="14">
        <f t="shared" si="12"/>
        <v>55305.952055634327</v>
      </c>
      <c r="G117" s="14">
        <f t="shared" si="13"/>
        <v>43119.720737560281</v>
      </c>
      <c r="H117" s="14">
        <f t="shared" si="14"/>
        <v>12186.231318074046</v>
      </c>
      <c r="I117" s="14">
        <f t="shared" si="15"/>
        <v>7948377.5971545922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6" customHeight="1" x14ac:dyDescent="0.2">
      <c r="B118" s="125">
        <f t="shared" si="8"/>
        <v>106</v>
      </c>
      <c r="C118" s="125">
        <f t="shared" si="9"/>
        <v>9</v>
      </c>
      <c r="D118" s="125" t="str">
        <f t="shared" si="10"/>
        <v>Amort</v>
      </c>
      <c r="E118" s="14">
        <f t="shared" si="11"/>
        <v>7948377.5971545922</v>
      </c>
      <c r="F118" s="14">
        <f t="shared" si="12"/>
        <v>55305.952055634327</v>
      </c>
      <c r="G118" s="14">
        <f t="shared" si="13"/>
        <v>43053.711984587375</v>
      </c>
      <c r="H118" s="14">
        <f t="shared" si="14"/>
        <v>12252.240071046952</v>
      </c>
      <c r="I118" s="14">
        <f t="shared" si="15"/>
        <v>7936125.3570835451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6" customHeight="1" x14ac:dyDescent="0.2">
      <c r="B119" s="125">
        <f t="shared" si="8"/>
        <v>107</v>
      </c>
      <c r="C119" s="125">
        <f t="shared" si="9"/>
        <v>9</v>
      </c>
      <c r="D119" s="125" t="str">
        <f t="shared" si="10"/>
        <v>Amort</v>
      </c>
      <c r="E119" s="14">
        <f t="shared" si="11"/>
        <v>7936125.3570835451</v>
      </c>
      <c r="F119" s="14">
        <f t="shared" si="12"/>
        <v>55305.952055634327</v>
      </c>
      <c r="G119" s="14">
        <f t="shared" si="13"/>
        <v>42987.345684202541</v>
      </c>
      <c r="H119" s="14">
        <f t="shared" si="14"/>
        <v>12318.606371431786</v>
      </c>
      <c r="I119" s="14">
        <f t="shared" si="15"/>
        <v>7923806.7507121135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6" customHeight="1" x14ac:dyDescent="0.2">
      <c r="B120" s="125">
        <f t="shared" si="8"/>
        <v>108</v>
      </c>
      <c r="C120" s="125">
        <f t="shared" si="9"/>
        <v>9</v>
      </c>
      <c r="D120" s="125" t="str">
        <f t="shared" si="10"/>
        <v>Amort</v>
      </c>
      <c r="E120" s="14">
        <f t="shared" si="11"/>
        <v>7923806.7507121135</v>
      </c>
      <c r="F120" s="14">
        <f t="shared" si="12"/>
        <v>55305.952055634327</v>
      </c>
      <c r="G120" s="14">
        <f t="shared" si="13"/>
        <v>42920.619899690617</v>
      </c>
      <c r="H120" s="14">
        <f t="shared" si="14"/>
        <v>12385.33215594371</v>
      </c>
      <c r="I120" s="14">
        <f t="shared" si="15"/>
        <v>7911421.4185561696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6" customHeight="1" x14ac:dyDescent="0.2">
      <c r="B121" s="127">
        <f t="shared" si="8"/>
        <v>109</v>
      </c>
      <c r="C121" s="127">
        <f t="shared" si="9"/>
        <v>10</v>
      </c>
      <c r="D121" s="127" t="str">
        <f t="shared" si="10"/>
        <v>Amort</v>
      </c>
      <c r="E121" s="50">
        <f t="shared" si="11"/>
        <v>7911421.4185561696</v>
      </c>
      <c r="F121" s="50">
        <f t="shared" si="12"/>
        <v>55305.952055634327</v>
      </c>
      <c r="G121" s="50">
        <f t="shared" si="13"/>
        <v>42853.532683845922</v>
      </c>
      <c r="H121" s="50">
        <f t="shared" si="14"/>
        <v>12452.419371788405</v>
      </c>
      <c r="I121" s="50">
        <f t="shared" si="15"/>
        <v>7898968.9991843812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6" customHeight="1" x14ac:dyDescent="0.2">
      <c r="B122" s="127">
        <f t="shared" si="8"/>
        <v>110</v>
      </c>
      <c r="C122" s="127">
        <f t="shared" si="9"/>
        <v>10</v>
      </c>
      <c r="D122" s="127" t="str">
        <f t="shared" si="10"/>
        <v>Amort</v>
      </c>
      <c r="E122" s="50">
        <f t="shared" si="11"/>
        <v>7898968.9991843812</v>
      </c>
      <c r="F122" s="50">
        <f t="shared" si="12"/>
        <v>55305.952055634327</v>
      </c>
      <c r="G122" s="50">
        <f t="shared" si="13"/>
        <v>42786.082078915402</v>
      </c>
      <c r="H122" s="50">
        <f t="shared" si="14"/>
        <v>12519.869976718925</v>
      </c>
      <c r="I122" s="50">
        <f t="shared" si="15"/>
        <v>7886449.1292076623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6" customHeight="1" x14ac:dyDescent="0.2">
      <c r="B123" s="127">
        <f t="shared" si="8"/>
        <v>111</v>
      </c>
      <c r="C123" s="127">
        <f t="shared" si="9"/>
        <v>10</v>
      </c>
      <c r="D123" s="127" t="str">
        <f t="shared" si="10"/>
        <v>Amort</v>
      </c>
      <c r="E123" s="50">
        <f t="shared" si="11"/>
        <v>7886449.1292076623</v>
      </c>
      <c r="F123" s="50">
        <f t="shared" si="12"/>
        <v>55305.952055634327</v>
      </c>
      <c r="G123" s="50">
        <f t="shared" si="13"/>
        <v>42718.266116541505</v>
      </c>
      <c r="H123" s="50">
        <f t="shared" si="14"/>
        <v>12587.685939092822</v>
      </c>
      <c r="I123" s="50">
        <f t="shared" si="15"/>
        <v>7873861.4432685692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6" customHeight="1" x14ac:dyDescent="0.2">
      <c r="B124" s="127">
        <f t="shared" si="8"/>
        <v>112</v>
      </c>
      <c r="C124" s="127">
        <f t="shared" si="9"/>
        <v>10</v>
      </c>
      <c r="D124" s="127" t="str">
        <f t="shared" si="10"/>
        <v>Amort</v>
      </c>
      <c r="E124" s="50">
        <f t="shared" si="11"/>
        <v>7873861.4432685692</v>
      </c>
      <c r="F124" s="50">
        <f t="shared" si="12"/>
        <v>55305.952055634327</v>
      </c>
      <c r="G124" s="50">
        <f t="shared" si="13"/>
        <v>42650.082817704752</v>
      </c>
      <c r="H124" s="50">
        <f t="shared" si="14"/>
        <v>12655.869237929575</v>
      </c>
      <c r="I124" s="50">
        <f t="shared" si="15"/>
        <v>7861205.5740306396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6" customHeight="1" x14ac:dyDescent="0.2">
      <c r="B125" s="127">
        <f t="shared" si="8"/>
        <v>113</v>
      </c>
      <c r="C125" s="127">
        <f t="shared" si="9"/>
        <v>10</v>
      </c>
      <c r="D125" s="127" t="str">
        <f t="shared" si="10"/>
        <v>Amort</v>
      </c>
      <c r="E125" s="50">
        <f t="shared" si="11"/>
        <v>7861205.5740306396</v>
      </c>
      <c r="F125" s="50">
        <f t="shared" si="12"/>
        <v>55305.952055634327</v>
      </c>
      <c r="G125" s="50">
        <f t="shared" si="13"/>
        <v>42581.530192665967</v>
      </c>
      <c r="H125" s="50">
        <f t="shared" si="14"/>
        <v>12724.42186296836</v>
      </c>
      <c r="I125" s="50">
        <f t="shared" si="15"/>
        <v>7848481.1521676714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6" customHeight="1" x14ac:dyDescent="0.2">
      <c r="B126" s="127">
        <f t="shared" si="8"/>
        <v>114</v>
      </c>
      <c r="C126" s="127">
        <f t="shared" si="9"/>
        <v>10</v>
      </c>
      <c r="D126" s="127" t="str">
        <f t="shared" si="10"/>
        <v>Amort</v>
      </c>
      <c r="E126" s="50">
        <f t="shared" si="11"/>
        <v>7848481.1521676714</v>
      </c>
      <c r="F126" s="50">
        <f t="shared" si="12"/>
        <v>55305.952055634327</v>
      </c>
      <c r="G126" s="50">
        <f t="shared" si="13"/>
        <v>42512.606240908222</v>
      </c>
      <c r="H126" s="50">
        <f t="shared" si="14"/>
        <v>12793.345814726104</v>
      </c>
      <c r="I126" s="50">
        <f t="shared" si="15"/>
        <v>7835687.806352945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6" customHeight="1" x14ac:dyDescent="0.2">
      <c r="B127" s="127">
        <f t="shared" si="8"/>
        <v>115</v>
      </c>
      <c r="C127" s="127">
        <f t="shared" si="9"/>
        <v>10</v>
      </c>
      <c r="D127" s="127" t="str">
        <f t="shared" si="10"/>
        <v>Amort</v>
      </c>
      <c r="E127" s="50">
        <f t="shared" si="11"/>
        <v>7835687.806352945</v>
      </c>
      <c r="F127" s="50">
        <f t="shared" si="12"/>
        <v>55305.952055634327</v>
      </c>
      <c r="G127" s="50">
        <f t="shared" si="13"/>
        <v>42443.308951078456</v>
      </c>
      <c r="H127" s="50">
        <f t="shared" si="14"/>
        <v>12862.643104555871</v>
      </c>
      <c r="I127" s="50">
        <f t="shared" si="15"/>
        <v>7822825.163248389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6" customHeight="1" x14ac:dyDescent="0.2">
      <c r="B128" s="127">
        <f t="shared" si="8"/>
        <v>116</v>
      </c>
      <c r="C128" s="127">
        <f t="shared" si="9"/>
        <v>10</v>
      </c>
      <c r="D128" s="127" t="str">
        <f t="shared" si="10"/>
        <v>Amort</v>
      </c>
      <c r="E128" s="50">
        <f t="shared" si="11"/>
        <v>7822825.163248389</v>
      </c>
      <c r="F128" s="50">
        <f t="shared" si="12"/>
        <v>55305.952055634327</v>
      </c>
      <c r="G128" s="50">
        <f t="shared" si="13"/>
        <v>42373.636300928774</v>
      </c>
      <c r="H128" s="50">
        <f t="shared" si="14"/>
        <v>12932.315754705553</v>
      </c>
      <c r="I128" s="50">
        <f t="shared" si="15"/>
        <v>7809892.8474936839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6" customHeight="1" x14ac:dyDescent="0.2">
      <c r="B129" s="127">
        <f t="shared" si="8"/>
        <v>117</v>
      </c>
      <c r="C129" s="127">
        <f t="shared" si="9"/>
        <v>10</v>
      </c>
      <c r="D129" s="127" t="str">
        <f t="shared" si="10"/>
        <v>Amort</v>
      </c>
      <c r="E129" s="50">
        <f t="shared" si="11"/>
        <v>7809892.8474936839</v>
      </c>
      <c r="F129" s="50">
        <f t="shared" si="12"/>
        <v>55305.952055634327</v>
      </c>
      <c r="G129" s="50">
        <f t="shared" si="13"/>
        <v>42303.586257257455</v>
      </c>
      <c r="H129" s="50">
        <f t="shared" si="14"/>
        <v>13002.365798376872</v>
      </c>
      <c r="I129" s="50">
        <f t="shared" si="15"/>
        <v>7796890.4816953074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6" customHeight="1" x14ac:dyDescent="0.2">
      <c r="B130" s="127">
        <f t="shared" si="8"/>
        <v>118</v>
      </c>
      <c r="C130" s="127">
        <f t="shared" si="9"/>
        <v>10</v>
      </c>
      <c r="D130" s="127" t="str">
        <f t="shared" si="10"/>
        <v>Amort</v>
      </c>
      <c r="E130" s="50">
        <f t="shared" si="11"/>
        <v>7796890.4816953074</v>
      </c>
      <c r="F130" s="50">
        <f t="shared" si="12"/>
        <v>55305.952055634327</v>
      </c>
      <c r="G130" s="50">
        <f t="shared" si="13"/>
        <v>42233.15677584958</v>
      </c>
      <c r="H130" s="50">
        <f t="shared" si="14"/>
        <v>13072.795279784747</v>
      </c>
      <c r="I130" s="50">
        <f t="shared" si="15"/>
        <v>7783817.6864155224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6" customHeight="1" x14ac:dyDescent="0.2">
      <c r="B131" s="127">
        <f t="shared" si="8"/>
        <v>119</v>
      </c>
      <c r="C131" s="127">
        <f t="shared" si="9"/>
        <v>10</v>
      </c>
      <c r="D131" s="127" t="str">
        <f t="shared" si="10"/>
        <v>Amort</v>
      </c>
      <c r="E131" s="50">
        <f t="shared" si="11"/>
        <v>7783817.6864155224</v>
      </c>
      <c r="F131" s="50">
        <f t="shared" si="12"/>
        <v>55305.952055634327</v>
      </c>
      <c r="G131" s="50">
        <f t="shared" si="13"/>
        <v>42162.345801417418</v>
      </c>
      <c r="H131" s="50">
        <f t="shared" si="14"/>
        <v>13143.606254216909</v>
      </c>
      <c r="I131" s="50">
        <f t="shared" si="15"/>
        <v>7770674.0801613051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6" customHeight="1" x14ac:dyDescent="0.2">
      <c r="B132" s="127">
        <f t="shared" si="8"/>
        <v>120</v>
      </c>
      <c r="C132" s="127">
        <f t="shared" si="9"/>
        <v>10</v>
      </c>
      <c r="D132" s="127" t="str">
        <f t="shared" si="10"/>
        <v>Amort</v>
      </c>
      <c r="E132" s="50">
        <f t="shared" si="11"/>
        <v>7770674.0801613051</v>
      </c>
      <c r="F132" s="50">
        <f t="shared" si="12"/>
        <v>55305.952055634327</v>
      </c>
      <c r="G132" s="50">
        <f t="shared" si="13"/>
        <v>42091.151267540401</v>
      </c>
      <c r="H132" s="50">
        <f t="shared" si="14"/>
        <v>13214.800788093926</v>
      </c>
      <c r="I132" s="50">
        <f t="shared" si="15"/>
        <v>7757459.2793732109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x14ac:dyDescent="0.2">
      <c r="B133" s="4"/>
      <c r="C133" s="4"/>
      <c r="D133" s="4"/>
      <c r="E133" s="4"/>
      <c r="F133" s="4"/>
      <c r="G133" s="4"/>
      <c r="H133" s="4"/>
      <c r="I133" s="4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x14ac:dyDescent="0.2">
      <c r="B134" s="4"/>
      <c r="C134" s="4"/>
      <c r="D134" s="4"/>
      <c r="E134" s="4"/>
      <c r="F134" s="4"/>
      <c r="G134" s="4"/>
      <c r="H134" s="4"/>
      <c r="I134" s="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x14ac:dyDescent="0.2">
      <c r="B135" s="4"/>
      <c r="C135" s="4"/>
      <c r="D135" s="4"/>
      <c r="E135" s="4"/>
      <c r="F135" s="4"/>
      <c r="G135" s="4"/>
      <c r="H135" s="4"/>
      <c r="I135" s="4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x14ac:dyDescent="0.2">
      <c r="B136" s="4"/>
      <c r="C136" s="4"/>
      <c r="D136" s="4"/>
      <c r="E136" s="4"/>
      <c r="F136" s="4"/>
      <c r="G136" s="4"/>
      <c r="H136" s="4"/>
      <c r="I136" s="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00CA-27FE-6D41-A6B4-DA4E07732953}">
  <dimension ref="A1:Z120"/>
  <sheetViews>
    <sheetView workbookViewId="0"/>
  </sheetViews>
  <sheetFormatPr baseColWidth="10" defaultRowHeight="16" x14ac:dyDescent="0.2"/>
  <cols>
    <col min="1" max="1" width="38.33203125" customWidth="1"/>
    <col min="2" max="2" width="20" customWidth="1"/>
    <col min="3" max="3" width="11.6640625" customWidth="1"/>
    <col min="4" max="4" width="13.33203125" customWidth="1"/>
    <col min="5" max="5" width="15" customWidth="1"/>
    <col min="6" max="8" width="21.6640625" customWidth="1"/>
  </cols>
  <sheetData>
    <row r="1" spans="1:26" ht="28" customHeight="1" x14ac:dyDescent="0.25">
      <c r="A1" s="27" t="s">
        <v>220</v>
      </c>
      <c r="B1" s="12"/>
      <c r="C1" s="12"/>
      <c r="D1" s="12"/>
      <c r="E1" s="12"/>
      <c r="F1" s="12"/>
      <c r="G1" s="12"/>
      <c r="H1" s="12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 customHeight="1" x14ac:dyDescent="0.2">
      <c r="A2" s="28" t="s">
        <v>102</v>
      </c>
      <c r="B2" s="12"/>
      <c r="C2" s="12"/>
      <c r="D2" s="12"/>
      <c r="E2" s="12"/>
      <c r="F2" s="12"/>
      <c r="G2" s="12"/>
      <c r="H2" s="12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" customHeight="1" x14ac:dyDescent="0.2">
      <c r="A3" s="12"/>
      <c r="B3" s="12"/>
      <c r="C3" s="12"/>
      <c r="D3" s="12"/>
      <c r="E3" s="12"/>
      <c r="F3" s="12"/>
      <c r="G3" s="12"/>
      <c r="H3" s="12"/>
      <c r="I3" s="4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2">
      <c r="A4" s="252" t="s">
        <v>0</v>
      </c>
      <c r="B4" s="251"/>
      <c r="C4" s="251"/>
      <c r="D4" s="251"/>
      <c r="E4" s="251"/>
      <c r="F4" s="251"/>
      <c r="G4" s="251"/>
      <c r="H4" s="251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2" t="s">
        <v>103</v>
      </c>
      <c r="B5" s="12" t="s">
        <v>1</v>
      </c>
      <c r="C5" s="12"/>
      <c r="D5" s="12"/>
      <c r="E5" s="12"/>
      <c r="F5" s="12"/>
      <c r="G5" s="12"/>
      <c r="H5" s="12"/>
      <c r="I5" s="4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2" t="s">
        <v>104</v>
      </c>
      <c r="B6" s="14">
        <v>12500000</v>
      </c>
      <c r="C6" s="12"/>
      <c r="D6" s="12"/>
      <c r="E6" s="12"/>
      <c r="F6" s="12"/>
      <c r="G6" s="12"/>
      <c r="H6" s="12"/>
      <c r="I6" s="4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2" t="s">
        <v>105</v>
      </c>
      <c r="B7" s="26">
        <v>0.02</v>
      </c>
      <c r="C7" s="12"/>
      <c r="D7" s="12"/>
      <c r="E7" s="12"/>
      <c r="F7" s="12"/>
      <c r="G7" s="12"/>
      <c r="H7" s="12"/>
      <c r="I7" s="4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2" t="s">
        <v>106</v>
      </c>
      <c r="B8" s="14">
        <f>B6*B7</f>
        <v>250000</v>
      </c>
      <c r="C8" s="12"/>
      <c r="D8" s="12"/>
      <c r="E8" s="12"/>
      <c r="F8" s="12"/>
      <c r="G8" s="12"/>
      <c r="H8" s="12"/>
      <c r="I8" s="4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2" t="s">
        <v>107</v>
      </c>
      <c r="B9" s="14">
        <f>B6+B8</f>
        <v>12750000</v>
      </c>
      <c r="C9" s="12"/>
      <c r="D9" s="12"/>
      <c r="E9" s="12"/>
      <c r="F9" s="12"/>
      <c r="G9" s="12"/>
      <c r="H9" s="12"/>
      <c r="I9" s="4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2"/>
      <c r="B10" s="12"/>
      <c r="C10" s="12"/>
      <c r="D10" s="12"/>
      <c r="E10" s="12"/>
      <c r="F10" s="12"/>
      <c r="G10" s="12"/>
      <c r="H10" s="12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">
      <c r="A11" s="252" t="s">
        <v>108</v>
      </c>
      <c r="B11" s="251"/>
      <c r="C11" s="251"/>
      <c r="D11" s="251"/>
      <c r="E11" s="251"/>
      <c r="F11" s="251"/>
      <c r="G11" s="251"/>
      <c r="H11" s="251"/>
      <c r="I11" s="4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2">
      <c r="A12" s="254" t="s">
        <v>24</v>
      </c>
      <c r="B12" s="255" t="s">
        <v>109</v>
      </c>
      <c r="C12" s="255" t="s">
        <v>110</v>
      </c>
      <c r="D12" s="255" t="s">
        <v>25</v>
      </c>
      <c r="E12" s="255" t="s">
        <v>111</v>
      </c>
      <c r="F12" s="255" t="s">
        <v>112</v>
      </c>
      <c r="G12" s="255" t="s">
        <v>113</v>
      </c>
      <c r="H12" s="256" t="s">
        <v>114</v>
      </c>
      <c r="I12" s="4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customHeight="1" x14ac:dyDescent="0.2">
      <c r="A13" s="259" t="s">
        <v>26</v>
      </c>
      <c r="B13" s="260">
        <v>0</v>
      </c>
      <c r="C13" s="260">
        <v>1</v>
      </c>
      <c r="D13" s="260">
        <v>10</v>
      </c>
      <c r="E13" s="260">
        <v>550</v>
      </c>
      <c r="F13" s="261">
        <v>1800</v>
      </c>
      <c r="G13" s="257">
        <f t="shared" ref="G13:G19" si="0">D13*F13</f>
        <v>18000</v>
      </c>
      <c r="H13" s="258">
        <f t="shared" ref="H13:H19" si="1">G13*12</f>
        <v>216000</v>
      </c>
      <c r="I13" s="4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 customHeight="1" x14ac:dyDescent="0.2">
      <c r="A14" s="264" t="s">
        <v>115</v>
      </c>
      <c r="B14" s="265">
        <v>1</v>
      </c>
      <c r="C14" s="265">
        <v>1</v>
      </c>
      <c r="D14" s="265">
        <v>35</v>
      </c>
      <c r="E14" s="265">
        <v>700</v>
      </c>
      <c r="F14" s="266">
        <v>2150</v>
      </c>
      <c r="G14" s="262">
        <f t="shared" si="0"/>
        <v>75250</v>
      </c>
      <c r="H14" s="263">
        <f t="shared" si="1"/>
        <v>903000</v>
      </c>
      <c r="I14" s="4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customHeight="1" x14ac:dyDescent="0.2">
      <c r="A15" s="269" t="s">
        <v>116</v>
      </c>
      <c r="B15" s="270">
        <v>2</v>
      </c>
      <c r="C15" s="270">
        <v>1</v>
      </c>
      <c r="D15" s="270">
        <v>20</v>
      </c>
      <c r="E15" s="270">
        <v>900</v>
      </c>
      <c r="F15" s="271">
        <v>2500</v>
      </c>
      <c r="G15" s="267">
        <f t="shared" si="0"/>
        <v>50000</v>
      </c>
      <c r="H15" s="268">
        <f t="shared" si="1"/>
        <v>600000</v>
      </c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customHeight="1" x14ac:dyDescent="0.2">
      <c r="A16" s="264" t="s">
        <v>117</v>
      </c>
      <c r="B16" s="265">
        <v>2</v>
      </c>
      <c r="C16" s="265">
        <v>2</v>
      </c>
      <c r="D16" s="265">
        <v>15</v>
      </c>
      <c r="E16" s="265">
        <v>950</v>
      </c>
      <c r="F16" s="266">
        <v>2650</v>
      </c>
      <c r="G16" s="262">
        <f t="shared" si="0"/>
        <v>39750</v>
      </c>
      <c r="H16" s="263">
        <f t="shared" si="1"/>
        <v>477000</v>
      </c>
      <c r="I16" s="4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" customHeight="1" x14ac:dyDescent="0.2">
      <c r="A17" s="269" t="s">
        <v>118</v>
      </c>
      <c r="B17" s="270">
        <v>3</v>
      </c>
      <c r="C17" s="270">
        <v>2</v>
      </c>
      <c r="D17" s="270">
        <v>10</v>
      </c>
      <c r="E17" s="270">
        <v>1100</v>
      </c>
      <c r="F17" s="271">
        <v>3100</v>
      </c>
      <c r="G17" s="267">
        <f t="shared" si="0"/>
        <v>31000</v>
      </c>
      <c r="H17" s="268">
        <f t="shared" si="1"/>
        <v>372000</v>
      </c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customHeight="1" x14ac:dyDescent="0.2">
      <c r="A18" s="264" t="s">
        <v>119</v>
      </c>
      <c r="B18" s="265">
        <v>4</v>
      </c>
      <c r="C18" s="265">
        <v>2</v>
      </c>
      <c r="D18" s="265">
        <v>7</v>
      </c>
      <c r="E18" s="265">
        <v>1300</v>
      </c>
      <c r="F18" s="266">
        <v>3600</v>
      </c>
      <c r="G18" s="262">
        <f t="shared" si="0"/>
        <v>25200</v>
      </c>
      <c r="H18" s="263">
        <f t="shared" si="1"/>
        <v>302400</v>
      </c>
      <c r="I18" s="4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" customHeight="1" x14ac:dyDescent="0.2">
      <c r="A19" s="269" t="s">
        <v>120</v>
      </c>
      <c r="B19" s="270">
        <v>5</v>
      </c>
      <c r="C19" s="270">
        <v>3</v>
      </c>
      <c r="D19" s="270">
        <v>3</v>
      </c>
      <c r="E19" s="270">
        <v>1500</v>
      </c>
      <c r="F19" s="271">
        <v>4200</v>
      </c>
      <c r="G19" s="267">
        <f t="shared" si="0"/>
        <v>12600</v>
      </c>
      <c r="H19" s="268">
        <f t="shared" si="1"/>
        <v>151200</v>
      </c>
      <c r="I19" s="4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" customHeight="1" x14ac:dyDescent="0.2">
      <c r="A20" s="272" t="s">
        <v>121</v>
      </c>
      <c r="B20" s="273"/>
      <c r="C20" s="273"/>
      <c r="D20" s="273">
        <f>SUM(D13:D19)</f>
        <v>100</v>
      </c>
      <c r="E20" s="273">
        <f>SUMPRODUCT(D13:D19,E13:E19)/SUM(D13:D19)</f>
        <v>868.5</v>
      </c>
      <c r="F20" s="274">
        <f>SUMPRODUCT(D13:D19,F13:F19)/SUM(D13:D19)</f>
        <v>2518</v>
      </c>
      <c r="G20" s="274">
        <f>SUM(G13:G19)</f>
        <v>251800</v>
      </c>
      <c r="H20" s="275">
        <f>SUM(H13:H19)</f>
        <v>3021600</v>
      </c>
      <c r="I20" s="4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" customHeight="1" x14ac:dyDescent="0.2">
      <c r="A21" s="12"/>
      <c r="B21" s="12"/>
      <c r="C21" s="12"/>
      <c r="D21" s="12"/>
      <c r="E21" s="12"/>
      <c r="F21" s="12"/>
      <c r="G21" s="12"/>
      <c r="H21" s="12"/>
      <c r="I21" s="4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" customHeight="1" x14ac:dyDescent="0.2">
      <c r="A22" s="278" t="s">
        <v>122</v>
      </c>
      <c r="B22" s="277">
        <f>D20</f>
        <v>100</v>
      </c>
      <c r="C22" s="276"/>
      <c r="D22" s="276"/>
      <c r="E22" s="276"/>
      <c r="F22" s="276"/>
      <c r="G22" s="276"/>
      <c r="H22" s="276"/>
      <c r="I22" s="4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" customHeight="1" x14ac:dyDescent="0.2">
      <c r="A23" s="279" t="s">
        <v>123</v>
      </c>
      <c r="B23" s="112">
        <f>H20</f>
        <v>3021600</v>
      </c>
      <c r="C23" s="111"/>
      <c r="D23" s="111"/>
      <c r="E23" s="111"/>
      <c r="F23" s="111"/>
      <c r="G23" s="111"/>
      <c r="H23" s="111"/>
      <c r="I23" s="4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8" customHeight="1" x14ac:dyDescent="0.2">
      <c r="A24" s="12"/>
      <c r="B24" s="12"/>
      <c r="C24" s="12"/>
      <c r="D24" s="12"/>
      <c r="E24" s="12"/>
      <c r="F24" s="12"/>
      <c r="G24" s="12"/>
      <c r="H24" s="12"/>
      <c r="I24" s="4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2">
      <c r="A25" s="252" t="s">
        <v>2</v>
      </c>
      <c r="B25" s="251"/>
      <c r="C25" s="251"/>
      <c r="D25" s="251"/>
      <c r="E25" s="251"/>
      <c r="F25" s="251"/>
      <c r="G25" s="251"/>
      <c r="H25" s="251"/>
      <c r="I25" s="4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" customHeight="1" x14ac:dyDescent="0.2">
      <c r="A26" s="280" t="s">
        <v>64</v>
      </c>
      <c r="B26" s="281">
        <v>15000</v>
      </c>
      <c r="C26" s="253"/>
      <c r="D26" s="253"/>
      <c r="E26" s="253"/>
      <c r="F26" s="253"/>
      <c r="G26" s="253"/>
      <c r="H26" s="253"/>
      <c r="I26" s="4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" customHeight="1" x14ac:dyDescent="0.2">
      <c r="A27" s="282" t="s">
        <v>65</v>
      </c>
      <c r="B27" s="283">
        <f>B26*B22</f>
        <v>1500000</v>
      </c>
      <c r="C27" s="284"/>
      <c r="D27" s="284"/>
      <c r="E27" s="284"/>
      <c r="F27" s="284"/>
      <c r="G27" s="284"/>
      <c r="H27" s="284"/>
      <c r="I27" s="4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8" customHeight="1" x14ac:dyDescent="0.2">
      <c r="A28" s="12"/>
      <c r="B28" s="12"/>
      <c r="C28" s="12"/>
      <c r="D28" s="12"/>
      <c r="E28" s="12"/>
      <c r="F28" s="12"/>
      <c r="G28" s="12"/>
      <c r="H28" s="12"/>
      <c r="I28" s="4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2">
      <c r="A29" s="252" t="s">
        <v>3</v>
      </c>
      <c r="B29" s="251"/>
      <c r="C29" s="251"/>
      <c r="D29" s="251"/>
      <c r="E29" s="251"/>
      <c r="F29" s="251"/>
      <c r="G29" s="251"/>
      <c r="H29" s="251"/>
      <c r="I29" s="4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" customHeight="1" x14ac:dyDescent="0.2">
      <c r="A30" s="280" t="s">
        <v>66</v>
      </c>
      <c r="B30" s="287">
        <v>7.0000000000000007E-2</v>
      </c>
      <c r="C30" s="253"/>
      <c r="D30" s="253"/>
      <c r="E30" s="253"/>
      <c r="F30" s="253"/>
      <c r="G30" s="253"/>
      <c r="H30" s="253"/>
      <c r="I30" s="4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" customHeight="1" x14ac:dyDescent="0.2">
      <c r="A31" s="288" t="s">
        <v>67</v>
      </c>
      <c r="B31" s="290">
        <v>75</v>
      </c>
      <c r="C31" s="289"/>
      <c r="D31" s="289"/>
      <c r="E31" s="289"/>
      <c r="F31" s="289"/>
      <c r="G31" s="289"/>
      <c r="H31" s="289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8" customHeight="1" x14ac:dyDescent="0.2">
      <c r="A32" s="12"/>
      <c r="B32" s="12"/>
      <c r="C32" s="12"/>
      <c r="D32" s="12"/>
      <c r="E32" s="12"/>
      <c r="F32" s="12"/>
      <c r="G32" s="12"/>
      <c r="H32" s="12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2">
      <c r="A33" s="252" t="s">
        <v>4</v>
      </c>
      <c r="B33" s="251"/>
      <c r="C33" s="251"/>
      <c r="D33" s="251"/>
      <c r="E33" s="251"/>
      <c r="F33" s="251"/>
      <c r="G33" s="251"/>
      <c r="H33" s="251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" customHeight="1" x14ac:dyDescent="0.2">
      <c r="A34" s="280" t="s">
        <v>68</v>
      </c>
      <c r="B34" s="281">
        <v>2400</v>
      </c>
      <c r="C34" s="253"/>
      <c r="D34" s="253"/>
      <c r="E34" s="253"/>
      <c r="F34" s="253"/>
      <c r="G34" s="253"/>
      <c r="H34" s="253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 customHeight="1" x14ac:dyDescent="0.2">
      <c r="A35" s="285" t="s">
        <v>69</v>
      </c>
      <c r="B35" s="293">
        <v>900</v>
      </c>
      <c r="C35" s="286"/>
      <c r="D35" s="286"/>
      <c r="E35" s="286"/>
      <c r="F35" s="286"/>
      <c r="G35" s="286"/>
      <c r="H35" s="286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" customHeight="1" x14ac:dyDescent="0.2">
      <c r="A36" s="291" t="s">
        <v>70</v>
      </c>
      <c r="B36" s="297">
        <v>0.05</v>
      </c>
      <c r="C36" s="292"/>
      <c r="D36" s="292"/>
      <c r="E36" s="292"/>
      <c r="F36" s="292"/>
      <c r="G36" s="292"/>
      <c r="H36" s="292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" customHeight="1" x14ac:dyDescent="0.2">
      <c r="A37" s="285" t="s">
        <v>71</v>
      </c>
      <c r="B37" s="293">
        <v>1200</v>
      </c>
      <c r="C37" s="286"/>
      <c r="D37" s="286"/>
      <c r="E37" s="286"/>
      <c r="F37" s="286"/>
      <c r="G37" s="286"/>
      <c r="H37" s="286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" customHeight="1" x14ac:dyDescent="0.2">
      <c r="A38" s="291" t="s">
        <v>72</v>
      </c>
      <c r="B38" s="299">
        <v>300</v>
      </c>
      <c r="C38" s="292"/>
      <c r="D38" s="292"/>
      <c r="E38" s="292"/>
      <c r="F38" s="292"/>
      <c r="G38" s="292"/>
      <c r="H38" s="292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" customHeight="1" x14ac:dyDescent="0.2">
      <c r="A39" s="288" t="s">
        <v>73</v>
      </c>
      <c r="B39" s="300">
        <v>0.03</v>
      </c>
      <c r="C39" s="289"/>
      <c r="D39" s="289"/>
      <c r="E39" s="289"/>
      <c r="F39" s="289"/>
      <c r="G39" s="289"/>
      <c r="H39" s="289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8" customHeight="1" x14ac:dyDescent="0.2">
      <c r="A40" s="12"/>
      <c r="B40" s="12"/>
      <c r="C40" s="12"/>
      <c r="D40" s="12"/>
      <c r="E40" s="12"/>
      <c r="F40" s="12"/>
      <c r="G40" s="12"/>
      <c r="H40" s="12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">
      <c r="A41" s="252" t="s">
        <v>5</v>
      </c>
      <c r="B41" s="251"/>
      <c r="C41" s="251"/>
      <c r="D41" s="251"/>
      <c r="E41" s="251"/>
      <c r="F41" s="251"/>
      <c r="G41" s="251"/>
      <c r="H41" s="251"/>
      <c r="I41" s="4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" customHeight="1" x14ac:dyDescent="0.2">
      <c r="A42" s="280" t="s">
        <v>74</v>
      </c>
      <c r="B42" s="301" t="s">
        <v>6</v>
      </c>
      <c r="C42" s="253"/>
      <c r="D42" s="253"/>
      <c r="E42" s="253"/>
      <c r="F42" s="253"/>
      <c r="G42" s="253"/>
      <c r="H42" s="253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" customHeight="1" x14ac:dyDescent="0.2">
      <c r="A43" s="285" t="s">
        <v>75</v>
      </c>
      <c r="B43" s="305">
        <v>0.7</v>
      </c>
      <c r="C43" s="286"/>
      <c r="D43" s="286"/>
      <c r="E43" s="286"/>
      <c r="F43" s="286"/>
      <c r="G43" s="286"/>
      <c r="H43" s="286"/>
      <c r="I43" s="4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" customHeight="1" x14ac:dyDescent="0.2">
      <c r="A44" s="302" t="s">
        <v>76</v>
      </c>
      <c r="B44" s="303">
        <f>B6*B43</f>
        <v>8750000</v>
      </c>
      <c r="C44" s="304"/>
      <c r="D44" s="304"/>
      <c r="E44" s="304"/>
      <c r="F44" s="304"/>
      <c r="G44" s="304"/>
      <c r="H44" s="304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" customHeight="1" x14ac:dyDescent="0.2">
      <c r="A45" s="285" t="s">
        <v>77</v>
      </c>
      <c r="B45" s="306">
        <v>6.5000000000000002E-2</v>
      </c>
      <c r="C45" s="286"/>
      <c r="D45" s="286"/>
      <c r="E45" s="286"/>
      <c r="F45" s="286"/>
      <c r="G45" s="286"/>
      <c r="H45" s="286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" customHeight="1" x14ac:dyDescent="0.2">
      <c r="A46" s="291" t="s">
        <v>78</v>
      </c>
      <c r="B46" s="307">
        <v>24</v>
      </c>
      <c r="C46" s="292"/>
      <c r="D46" s="292"/>
      <c r="E46" s="292"/>
      <c r="F46" s="292"/>
      <c r="G46" s="292"/>
      <c r="H46" s="292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" customHeight="1" x14ac:dyDescent="0.2">
      <c r="A47" s="285" t="s">
        <v>79</v>
      </c>
      <c r="B47" s="308">
        <v>30</v>
      </c>
      <c r="C47" s="286"/>
      <c r="D47" s="286"/>
      <c r="E47" s="286"/>
      <c r="F47" s="286"/>
      <c r="G47" s="286"/>
      <c r="H47" s="286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" customHeight="1" x14ac:dyDescent="0.2">
      <c r="A48" s="291" t="s">
        <v>80</v>
      </c>
      <c r="B48" s="307">
        <v>10</v>
      </c>
      <c r="C48" s="292"/>
      <c r="D48" s="292"/>
      <c r="E48" s="292"/>
      <c r="F48" s="292"/>
      <c r="G48" s="292"/>
      <c r="H48" s="292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" customHeight="1" x14ac:dyDescent="0.2">
      <c r="A49" s="285" t="s">
        <v>81</v>
      </c>
      <c r="B49" s="305">
        <v>0.01</v>
      </c>
      <c r="C49" s="286"/>
      <c r="D49" s="286"/>
      <c r="E49" s="286"/>
      <c r="F49" s="286"/>
      <c r="G49" s="286"/>
      <c r="H49" s="286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" customHeight="1" x14ac:dyDescent="0.2">
      <c r="A50" s="294" t="s">
        <v>82</v>
      </c>
      <c r="B50" s="298">
        <f>B44*B49</f>
        <v>87500</v>
      </c>
      <c r="C50" s="295"/>
      <c r="D50" s="295"/>
      <c r="E50" s="295"/>
      <c r="F50" s="295"/>
      <c r="G50" s="295"/>
      <c r="H50" s="295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8" customHeight="1" x14ac:dyDescent="0.2">
      <c r="A51" s="12"/>
      <c r="B51" s="12"/>
      <c r="C51" s="12"/>
      <c r="D51" s="12"/>
      <c r="E51" s="12"/>
      <c r="F51" s="12"/>
      <c r="G51" s="12"/>
      <c r="H51" s="12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">
      <c r="A52" s="252" t="s">
        <v>10</v>
      </c>
      <c r="B52" s="251"/>
      <c r="C52" s="251"/>
      <c r="D52" s="251"/>
      <c r="E52" s="251"/>
      <c r="F52" s="251"/>
      <c r="G52" s="251"/>
      <c r="H52" s="251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" customHeight="1" x14ac:dyDescent="0.2">
      <c r="A53" s="280" t="s">
        <v>83</v>
      </c>
      <c r="B53" s="309">
        <v>5</v>
      </c>
      <c r="C53" s="253"/>
      <c r="D53" s="253"/>
      <c r="E53" s="253"/>
      <c r="F53" s="253"/>
      <c r="G53" s="253"/>
      <c r="H53" s="253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 customHeight="1" x14ac:dyDescent="0.2">
      <c r="A54" s="285" t="s">
        <v>84</v>
      </c>
      <c r="B54" s="306">
        <v>0.06</v>
      </c>
      <c r="C54" s="286"/>
      <c r="D54" s="286"/>
      <c r="E54" s="286"/>
      <c r="F54" s="286"/>
      <c r="G54" s="286"/>
      <c r="H54" s="286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customHeight="1" x14ac:dyDescent="0.2">
      <c r="A55" s="294" t="s">
        <v>85</v>
      </c>
      <c r="B55" s="296">
        <v>0.02</v>
      </c>
      <c r="C55" s="295"/>
      <c r="D55" s="295"/>
      <c r="E55" s="295"/>
      <c r="F55" s="295"/>
      <c r="G55" s="295"/>
      <c r="H55" s="295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8" customHeight="1" x14ac:dyDescent="0.2">
      <c r="A56" s="12"/>
      <c r="B56" s="12"/>
      <c r="C56" s="12"/>
      <c r="D56" s="12"/>
      <c r="E56" s="12"/>
      <c r="F56" s="12"/>
      <c r="G56" s="12"/>
      <c r="H56" s="12"/>
      <c r="I56" s="4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2">
      <c r="A57" s="252" t="s">
        <v>11</v>
      </c>
      <c r="B57" s="251"/>
      <c r="C57" s="251"/>
      <c r="D57" s="251"/>
      <c r="E57" s="251"/>
      <c r="F57" s="251"/>
      <c r="G57" s="251"/>
      <c r="H57" s="251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customHeight="1" x14ac:dyDescent="0.2">
      <c r="A58" s="280" t="s">
        <v>86</v>
      </c>
      <c r="B58" s="287">
        <v>0.1</v>
      </c>
      <c r="C58" s="253"/>
      <c r="D58" s="253"/>
      <c r="E58" s="253"/>
      <c r="F58" s="253"/>
      <c r="G58" s="253"/>
      <c r="H58" s="253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customHeight="1" x14ac:dyDescent="0.2">
      <c r="A59" s="285" t="s">
        <v>87</v>
      </c>
      <c r="B59" s="305">
        <v>0.08</v>
      </c>
      <c r="C59" s="286"/>
      <c r="D59" s="286"/>
      <c r="E59" s="286"/>
      <c r="F59" s="286"/>
      <c r="G59" s="286"/>
      <c r="H59" s="286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customHeight="1" x14ac:dyDescent="0.2">
      <c r="A60" s="294" t="s">
        <v>88</v>
      </c>
      <c r="B60" s="296">
        <v>0.2</v>
      </c>
      <c r="C60" s="295"/>
      <c r="D60" s="295"/>
      <c r="E60" s="295"/>
      <c r="F60" s="295"/>
      <c r="G60" s="295"/>
      <c r="H60" s="295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8" customHeight="1" x14ac:dyDescent="0.2">
      <c r="A61" s="12"/>
      <c r="B61" s="12"/>
      <c r="C61" s="12"/>
      <c r="D61" s="12"/>
      <c r="E61" s="12"/>
      <c r="F61" s="12"/>
      <c r="G61" s="12"/>
      <c r="H61" s="12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2">
      <c r="A62" s="252" t="s">
        <v>12</v>
      </c>
      <c r="B62" s="251"/>
      <c r="C62" s="251"/>
      <c r="D62" s="251"/>
      <c r="E62" s="251"/>
      <c r="F62" s="251"/>
      <c r="G62" s="251"/>
      <c r="H62" s="251"/>
      <c r="I62" s="4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customHeight="1" x14ac:dyDescent="0.2">
      <c r="A63" s="280" t="s">
        <v>89</v>
      </c>
      <c r="B63" s="287">
        <v>0.03</v>
      </c>
      <c r="C63" s="253"/>
      <c r="D63" s="253"/>
      <c r="E63" s="253"/>
      <c r="F63" s="253"/>
      <c r="G63" s="253"/>
      <c r="H63" s="253"/>
      <c r="I63" s="4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customHeight="1" x14ac:dyDescent="0.2">
      <c r="A64" s="285" t="s">
        <v>90</v>
      </c>
      <c r="B64" s="305">
        <v>0.03</v>
      </c>
      <c r="C64" s="286"/>
      <c r="D64" s="286"/>
      <c r="E64" s="286"/>
      <c r="F64" s="286"/>
      <c r="G64" s="286"/>
      <c r="H64" s="286"/>
      <c r="I64" s="4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customHeight="1" x14ac:dyDescent="0.2">
      <c r="A65" s="291" t="s">
        <v>91</v>
      </c>
      <c r="B65" s="297">
        <v>2.5000000000000001E-2</v>
      </c>
      <c r="C65" s="292"/>
      <c r="D65" s="292"/>
      <c r="E65" s="292"/>
      <c r="F65" s="292"/>
      <c r="G65" s="292"/>
      <c r="H65" s="292"/>
      <c r="I65" s="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customHeight="1" x14ac:dyDescent="0.2">
      <c r="A66" s="285" t="s">
        <v>92</v>
      </c>
      <c r="B66" s="305">
        <v>2.5000000000000001E-2</v>
      </c>
      <c r="C66" s="286"/>
      <c r="D66" s="286"/>
      <c r="E66" s="286"/>
      <c r="F66" s="286"/>
      <c r="G66" s="286"/>
      <c r="H66" s="286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customHeight="1" x14ac:dyDescent="0.2">
      <c r="A67" s="291" t="s">
        <v>93</v>
      </c>
      <c r="B67" s="297">
        <v>2.5000000000000001E-2</v>
      </c>
      <c r="C67" s="292"/>
      <c r="D67" s="292"/>
      <c r="E67" s="292"/>
      <c r="F67" s="292"/>
      <c r="G67" s="292"/>
      <c r="H67" s="292"/>
      <c r="I67" s="4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customHeight="1" x14ac:dyDescent="0.2">
      <c r="A68" s="285" t="s">
        <v>94</v>
      </c>
      <c r="B68" s="305">
        <v>0.02</v>
      </c>
      <c r="C68" s="286"/>
      <c r="D68" s="286"/>
      <c r="E68" s="286"/>
      <c r="F68" s="286"/>
      <c r="G68" s="286"/>
      <c r="H68" s="286"/>
      <c r="I68" s="4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customHeight="1" x14ac:dyDescent="0.2">
      <c r="A69" s="291" t="s">
        <v>95</v>
      </c>
      <c r="B69" s="297">
        <v>0.02</v>
      </c>
      <c r="C69" s="292"/>
      <c r="D69" s="292"/>
      <c r="E69" s="292"/>
      <c r="F69" s="292"/>
      <c r="G69" s="292"/>
      <c r="H69" s="292"/>
      <c r="I69" s="4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customHeight="1" x14ac:dyDescent="0.2">
      <c r="A70" s="285" t="s">
        <v>96</v>
      </c>
      <c r="B70" s="305">
        <v>0.02</v>
      </c>
      <c r="C70" s="286"/>
      <c r="D70" s="286"/>
      <c r="E70" s="286"/>
      <c r="F70" s="286"/>
      <c r="G70" s="286"/>
      <c r="H70" s="286"/>
      <c r="I70" s="4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customHeight="1" x14ac:dyDescent="0.2">
      <c r="A71" s="291" t="s">
        <v>97</v>
      </c>
      <c r="B71" s="297">
        <v>0.02</v>
      </c>
      <c r="C71" s="292"/>
      <c r="D71" s="292"/>
      <c r="E71" s="292"/>
      <c r="F71" s="292"/>
      <c r="G71" s="292"/>
      <c r="H71" s="292"/>
      <c r="I71" s="4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customHeight="1" x14ac:dyDescent="0.2">
      <c r="A72" s="288" t="s">
        <v>98</v>
      </c>
      <c r="B72" s="300">
        <v>0.02</v>
      </c>
      <c r="C72" s="289"/>
      <c r="D72" s="289"/>
      <c r="E72" s="289"/>
      <c r="F72" s="289"/>
      <c r="G72" s="289"/>
      <c r="H72" s="289"/>
      <c r="I72" s="4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8" customHeight="1" x14ac:dyDescent="0.2">
      <c r="A73" s="12"/>
      <c r="B73" s="12"/>
      <c r="C73" s="12"/>
      <c r="D73" s="12"/>
      <c r="E73" s="12"/>
      <c r="F73" s="12"/>
      <c r="G73" s="12"/>
      <c r="H73" s="12"/>
      <c r="I73" s="4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2">
      <c r="A74" s="252" t="s">
        <v>23</v>
      </c>
      <c r="B74" s="251"/>
      <c r="C74" s="251"/>
      <c r="D74" s="251"/>
      <c r="E74" s="251"/>
      <c r="F74" s="251"/>
      <c r="G74" s="251"/>
      <c r="H74" s="251"/>
      <c r="I74" s="4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customHeight="1" x14ac:dyDescent="0.2">
      <c r="A75" s="313" t="s">
        <v>99</v>
      </c>
      <c r="B75" s="314">
        <f>B9+B27-B44+B50</f>
        <v>5587500</v>
      </c>
      <c r="C75" s="315"/>
      <c r="D75" s="315"/>
      <c r="E75" s="315"/>
      <c r="F75" s="315"/>
      <c r="G75" s="315"/>
      <c r="H75" s="315"/>
      <c r="I75" s="4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customHeight="1" x14ac:dyDescent="0.2">
      <c r="A76" s="312" t="s">
        <v>100</v>
      </c>
      <c r="B76" s="311">
        <f>B75*B58</f>
        <v>558750</v>
      </c>
      <c r="C76" s="310"/>
      <c r="D76" s="310"/>
      <c r="E76" s="310"/>
      <c r="F76" s="310"/>
      <c r="G76" s="310"/>
      <c r="H76" s="310"/>
      <c r="I76" s="4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customHeight="1" x14ac:dyDescent="0.2">
      <c r="A77" s="316" t="s">
        <v>101</v>
      </c>
      <c r="B77" s="317">
        <f>B75-B76</f>
        <v>5028750</v>
      </c>
      <c r="C77" s="318"/>
      <c r="D77" s="318"/>
      <c r="E77" s="318"/>
      <c r="F77" s="318"/>
      <c r="G77" s="318"/>
      <c r="H77" s="318"/>
      <c r="I77" s="4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10" x14ac:dyDescent="0.2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2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2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x14ac:dyDescent="0.2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2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2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2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2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Z200"/>
  <sheetViews>
    <sheetView workbookViewId="0"/>
  </sheetViews>
  <sheetFormatPr baseColWidth="10" defaultColWidth="10.6640625" defaultRowHeight="16" x14ac:dyDescent="0.2"/>
  <cols>
    <col min="1" max="1" width="38.33203125" customWidth="1"/>
    <col min="2" max="2" width="25" customWidth="1"/>
    <col min="3" max="3" width="3.33203125" customWidth="1"/>
    <col min="4" max="4" width="33.33203125" customWidth="1"/>
    <col min="5" max="5" width="3.33203125" customWidth="1"/>
    <col min="6" max="6" width="21.6640625" customWidth="1"/>
  </cols>
  <sheetData>
    <row r="1" spans="7:26" x14ac:dyDescent="0.2"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7:26" x14ac:dyDescent="0.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7:26" x14ac:dyDescent="0.2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7:26" x14ac:dyDescent="0.2"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7:26" x14ac:dyDescent="0.2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7:26" x14ac:dyDescent="0.2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7:26" x14ac:dyDescent="0.2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7:26" x14ac:dyDescent="0.2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7:26" x14ac:dyDescent="0.2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7:26" x14ac:dyDescent="0.2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7:26" x14ac:dyDescent="0.2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7:26" x14ac:dyDescent="0.2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7:26" x14ac:dyDescent="0.2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7:26" x14ac:dyDescent="0.2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7:26" x14ac:dyDescent="0.2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7:26" x14ac:dyDescent="0.2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7:26" x14ac:dyDescent="0.2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7:26" x14ac:dyDescent="0.2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7:26" x14ac:dyDescent="0.2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7:26" x14ac:dyDescent="0.2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7:26" x14ac:dyDescent="0.2"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7:26" x14ac:dyDescent="0.2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7:26" x14ac:dyDescent="0.2"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7:26" x14ac:dyDescent="0.2"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7:26" x14ac:dyDescent="0.2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7:26" x14ac:dyDescent="0.2"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7:26" x14ac:dyDescent="0.2"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7:26" x14ac:dyDescent="0.2"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7:26" x14ac:dyDescent="0.2"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7:26" x14ac:dyDescent="0.2"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7:26" x14ac:dyDescent="0.2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7:26" x14ac:dyDescent="0.2"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7:26" x14ac:dyDescent="0.2"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7:26" x14ac:dyDescent="0.2"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7:26" x14ac:dyDescent="0.2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7:26" x14ac:dyDescent="0.2"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7:26" x14ac:dyDescent="0.2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7:26" x14ac:dyDescent="0.2"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7:26" x14ac:dyDescent="0.2"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7:26" x14ac:dyDescent="0.2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7:26" x14ac:dyDescent="0.2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7:26" x14ac:dyDescent="0.2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7:26" x14ac:dyDescent="0.2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7:26" x14ac:dyDescent="0.2"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7:26" x14ac:dyDescent="0.2"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7:26" x14ac:dyDescent="0.2"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7:26" x14ac:dyDescent="0.2"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7:26" x14ac:dyDescent="0.2"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7:26" x14ac:dyDescent="0.2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7:26" x14ac:dyDescent="0.2"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7:26" x14ac:dyDescent="0.2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7:26" x14ac:dyDescent="0.2"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7:26" x14ac:dyDescent="0.2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7:26" x14ac:dyDescent="0.2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7:26" x14ac:dyDescent="0.2"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7:26" x14ac:dyDescent="0.2"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7:26" x14ac:dyDescent="0.2"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7:26" x14ac:dyDescent="0.2"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7:26" x14ac:dyDescent="0.2"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7:26" x14ac:dyDescent="0.2"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7:26" x14ac:dyDescent="0.2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7:26" x14ac:dyDescent="0.2"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7:26" x14ac:dyDescent="0.2"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7:26" x14ac:dyDescent="0.2"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7:26" x14ac:dyDescent="0.2"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7:26" x14ac:dyDescent="0.2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7:26" x14ac:dyDescent="0.2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7:26" x14ac:dyDescent="0.2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7:26" x14ac:dyDescent="0.2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7:26" x14ac:dyDescent="0.2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7:26" x14ac:dyDescent="0.2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7:26" x14ac:dyDescent="0.2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7:26" x14ac:dyDescent="0.2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7:26" x14ac:dyDescent="0.2"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7:26" x14ac:dyDescent="0.2"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7:26" x14ac:dyDescent="0.2"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7:26" x14ac:dyDescent="0.2"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7:26" x14ac:dyDescent="0.2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7:26" x14ac:dyDescent="0.2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7:26" x14ac:dyDescent="0.2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Comps</vt:lpstr>
      <vt:lpstr>Rent Assumptions</vt:lpstr>
      <vt:lpstr>Assumptions</vt:lpstr>
      <vt:lpstr>Pricing Scenarios</vt:lpstr>
      <vt:lpstr>Cash Flow</vt:lpstr>
      <vt:lpstr>Returns</vt:lpstr>
      <vt:lpstr>Debt Schedule</vt:lpstr>
      <vt:lpstr>Inputs</vt:lpstr>
      <vt:lpstr>ZZZOLD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Niko Moutopoulos</cp:lastModifiedBy>
  <dcterms:created xsi:type="dcterms:W3CDTF">2018-06-07T17:34:22Z</dcterms:created>
  <dcterms:modified xsi:type="dcterms:W3CDTF">2026-02-27T21:52:46Z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