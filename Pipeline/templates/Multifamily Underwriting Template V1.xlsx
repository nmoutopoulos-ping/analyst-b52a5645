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ikomoutopoulos/Downloads/"/>
    </mc:Choice>
  </mc:AlternateContent>
  <xr:revisionPtr revIDLastSave="0" documentId="13_ncr:1_{52CFB2D7-5F0A-F143-98FC-CAD5D50A01E8}" xr6:coauthVersionLast="47" xr6:coauthVersionMax="47" xr10:uidLastSave="{00000000-0000-0000-0000-000000000000}"/>
  <bookViews>
    <workbookView xWindow="0" yWindow="760" windowWidth="28800" windowHeight="15760" tabRatio="500" xr2:uid="{00000000-000D-0000-FFFF-FFFF00000000}"/>
    <workbookView xWindow="0" yWindow="760" windowWidth="29400" windowHeight="16740" activeTab="1" xr2:uid="{1140763E-EC44-F043-B035-AEF81CCAB1C2}"/>
  </bookViews>
  <sheets>
    <sheet name="Assumptions" sheetId="1" r:id="rId1"/>
    <sheet name="Pro Forma" sheetId="2" r:id="rId2"/>
    <sheet name="Returns" sheetId="3" r:id="rId3"/>
    <sheet name="Raw Comps" sheetId="5" r:id="rId4"/>
    <sheet name="Debt Schedule" sheetId="6" r:id="rId5"/>
    <sheet name="Inputs" sheetId="7" state="hidden" r:id="rId6"/>
    <sheet name="ZZZOLD" sheetId="8" state="hidden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3" l="1"/>
  <c r="M22" i="3"/>
  <c r="L22" i="3"/>
  <c r="K22" i="3"/>
  <c r="J22" i="3"/>
  <c r="I22" i="3"/>
  <c r="H22" i="3"/>
  <c r="G22" i="3"/>
  <c r="F22" i="3"/>
  <c r="E22" i="3"/>
  <c r="D22" i="3"/>
  <c r="C73" i="3"/>
  <c r="D73" i="3" s="1"/>
  <c r="E73" i="3"/>
  <c r="C74" i="3"/>
  <c r="D74" i="3" s="1"/>
  <c r="E74" i="3"/>
  <c r="C75" i="3"/>
  <c r="E75" i="3"/>
  <c r="C76" i="3"/>
  <c r="D76" i="3"/>
  <c r="E76" i="3"/>
  <c r="C77" i="3"/>
  <c r="G77" i="3" s="1"/>
  <c r="E77" i="3"/>
  <c r="C78" i="3"/>
  <c r="D78" i="3"/>
  <c r="F78" i="3" s="1"/>
  <c r="E78" i="3"/>
  <c r="G78" i="3"/>
  <c r="H78" i="3" s="1"/>
  <c r="C79" i="3"/>
  <c r="D79" i="3"/>
  <c r="E79" i="3"/>
  <c r="G79" i="3"/>
  <c r="I79" i="3" s="1"/>
  <c r="H79" i="3"/>
  <c r="C131" i="3" s="1"/>
  <c r="C80" i="3"/>
  <c r="D80" i="3" s="1"/>
  <c r="E80" i="3"/>
  <c r="C81" i="3"/>
  <c r="D81" i="3" s="1"/>
  <c r="E81" i="3"/>
  <c r="C82" i="3"/>
  <c r="D82" i="3" s="1"/>
  <c r="E82" i="3"/>
  <c r="C83" i="3"/>
  <c r="D83" i="3"/>
  <c r="E83" i="3"/>
  <c r="E133" i="3"/>
  <c r="F133" i="3"/>
  <c r="F12" i="3"/>
  <c r="C12" i="3"/>
  <c r="F11" i="3"/>
  <c r="C11" i="3"/>
  <c r="F10" i="3"/>
  <c r="C10" i="3"/>
  <c r="F9" i="3"/>
  <c r="C9" i="3"/>
  <c r="F8" i="3"/>
  <c r="C8" i="3"/>
  <c r="F7" i="3"/>
  <c r="C7" i="3"/>
  <c r="C33" i="3"/>
  <c r="C32" i="3"/>
  <c r="C31" i="3"/>
  <c r="C30" i="3"/>
  <c r="C29" i="3"/>
  <c r="C28" i="3"/>
  <c r="C27" i="3"/>
  <c r="C26" i="3"/>
  <c r="C25" i="3"/>
  <c r="N21" i="3"/>
  <c r="M20" i="3"/>
  <c r="L20" i="3"/>
  <c r="K20" i="3"/>
  <c r="J20" i="3"/>
  <c r="I20" i="3"/>
  <c r="H20" i="3"/>
  <c r="G20" i="3"/>
  <c r="F20" i="3"/>
  <c r="E20" i="3"/>
  <c r="D20" i="3"/>
  <c r="M19" i="3"/>
  <c r="K19" i="3"/>
  <c r="J19" i="3"/>
  <c r="M18" i="3"/>
  <c r="L18" i="3"/>
  <c r="L19" i="3" s="1"/>
  <c r="K18" i="3"/>
  <c r="J18" i="3"/>
  <c r="I18" i="3"/>
  <c r="I19" i="3" s="1"/>
  <c r="H18" i="3"/>
  <c r="H19" i="3" s="1"/>
  <c r="G18" i="3"/>
  <c r="G19" i="3" s="1"/>
  <c r="F18" i="3"/>
  <c r="F19" i="3" s="1"/>
  <c r="E18" i="3"/>
  <c r="E19" i="3" s="1"/>
  <c r="D18" i="3"/>
  <c r="D19" i="3" s="1"/>
  <c r="C18" i="3"/>
  <c r="L17" i="3"/>
  <c r="K17" i="3"/>
  <c r="D17" i="3"/>
  <c r="M16" i="3"/>
  <c r="M17" i="3" s="1"/>
  <c r="L16" i="3"/>
  <c r="K16" i="3"/>
  <c r="J16" i="3"/>
  <c r="J17" i="3" s="1"/>
  <c r="I16" i="3"/>
  <c r="I17" i="3" s="1"/>
  <c r="H16" i="3"/>
  <c r="H17" i="3" s="1"/>
  <c r="G16" i="3"/>
  <c r="F16" i="3"/>
  <c r="E16" i="3"/>
  <c r="D16" i="3"/>
  <c r="C16" i="3"/>
  <c r="G37" i="6"/>
  <c r="C72" i="2"/>
  <c r="C45" i="2"/>
  <c r="C47" i="2"/>
  <c r="C49" i="2"/>
  <c r="I54" i="2"/>
  <c r="C57" i="2" s="1"/>
  <c r="D32" i="2"/>
  <c r="D21" i="2"/>
  <c r="F37" i="6"/>
  <c r="E64" i="2"/>
  <c r="D55" i="2"/>
  <c r="C22" i="1"/>
  <c r="B44" i="7"/>
  <c r="B50" i="7" s="1"/>
  <c r="F20" i="7"/>
  <c r="E20" i="7"/>
  <c r="D20" i="7"/>
  <c r="B22" i="7" s="1"/>
  <c r="B27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B8" i="7"/>
  <c r="B9" i="7" s="1"/>
  <c r="B14" i="6"/>
  <c r="C14" i="6" s="1"/>
  <c r="C13" i="6"/>
  <c r="C8" i="6"/>
  <c r="C7" i="6"/>
  <c r="C6" i="6"/>
  <c r="C43" i="2"/>
  <c r="C42" i="2"/>
  <c r="C41" i="2"/>
  <c r="M64" i="2" s="1"/>
  <c r="F25" i="2"/>
  <c r="E25" i="2"/>
  <c r="D25" i="2"/>
  <c r="C14" i="2"/>
  <c r="C10" i="2"/>
  <c r="C8" i="2"/>
  <c r="D8" i="2" s="1"/>
  <c r="N7" i="2"/>
  <c r="M7" i="2"/>
  <c r="L7" i="2"/>
  <c r="K7" i="2"/>
  <c r="J7" i="2"/>
  <c r="I7" i="2"/>
  <c r="H7" i="2"/>
  <c r="G7" i="2"/>
  <c r="F7" i="2"/>
  <c r="E7" i="2"/>
  <c r="C35" i="1"/>
  <c r="K24" i="2" s="1"/>
  <c r="G18" i="1"/>
  <c r="F18" i="1"/>
  <c r="E18" i="1"/>
  <c r="G17" i="1"/>
  <c r="F17" i="1"/>
  <c r="E17" i="1"/>
  <c r="G16" i="1"/>
  <c r="F16" i="1"/>
  <c r="E16" i="1"/>
  <c r="C9" i="1"/>
  <c r="C11" i="1" s="1"/>
  <c r="G8" i="1"/>
  <c r="G7" i="1"/>
  <c r="I21" i="3" l="1"/>
  <c r="F134" i="3"/>
  <c r="F130" i="3"/>
  <c r="G81" i="3"/>
  <c r="E150" i="3" s="1"/>
  <c r="N20" i="3"/>
  <c r="F129" i="3"/>
  <c r="J21" i="3"/>
  <c r="F79" i="3"/>
  <c r="F73" i="3"/>
  <c r="N19" i="3"/>
  <c r="B130" i="3"/>
  <c r="B132" i="3"/>
  <c r="B135" i="3"/>
  <c r="B136" i="3"/>
  <c r="B131" i="3"/>
  <c r="N18" i="3"/>
  <c r="M21" i="3"/>
  <c r="K21" i="3"/>
  <c r="D136" i="3"/>
  <c r="D21" i="3"/>
  <c r="L21" i="3"/>
  <c r="F145" i="3"/>
  <c r="I81" i="3"/>
  <c r="G144" i="3" s="1"/>
  <c r="G80" i="3"/>
  <c r="D77" i="3"/>
  <c r="E21" i="3"/>
  <c r="B126" i="3"/>
  <c r="H21" i="3"/>
  <c r="B123" i="3"/>
  <c r="F81" i="3"/>
  <c r="B145" i="3" s="1"/>
  <c r="F76" i="3"/>
  <c r="G73" i="3"/>
  <c r="B127" i="3"/>
  <c r="F80" i="3"/>
  <c r="B140" i="3" s="1"/>
  <c r="G21" i="3"/>
  <c r="E147" i="3"/>
  <c r="F125" i="3"/>
  <c r="E17" i="3"/>
  <c r="N17" i="3" s="1"/>
  <c r="F17" i="3"/>
  <c r="F148" i="3"/>
  <c r="F146" i="3"/>
  <c r="E144" i="3"/>
  <c r="D132" i="3"/>
  <c r="F83" i="3"/>
  <c r="N16" i="3"/>
  <c r="F21" i="3"/>
  <c r="G17" i="3"/>
  <c r="F150" i="3"/>
  <c r="E148" i="3"/>
  <c r="F77" i="3"/>
  <c r="B118" i="3" s="1"/>
  <c r="D75" i="3"/>
  <c r="F75" i="3" s="1"/>
  <c r="C123" i="3"/>
  <c r="C127" i="3"/>
  <c r="D123" i="3"/>
  <c r="D127" i="3"/>
  <c r="D124" i="3"/>
  <c r="C126" i="3"/>
  <c r="D126" i="3"/>
  <c r="C125" i="3"/>
  <c r="C129" i="3"/>
  <c r="C128" i="3"/>
  <c r="D125" i="3"/>
  <c r="D129" i="3"/>
  <c r="C124" i="3"/>
  <c r="D128" i="3"/>
  <c r="E116" i="3"/>
  <c r="E120" i="3"/>
  <c r="H77" i="3"/>
  <c r="F116" i="3"/>
  <c r="F120" i="3"/>
  <c r="I77" i="3"/>
  <c r="G121" i="3" s="1"/>
  <c r="E119" i="3"/>
  <c r="F119" i="3"/>
  <c r="E118" i="3"/>
  <c r="E122" i="3"/>
  <c r="E121" i="3"/>
  <c r="F118" i="3"/>
  <c r="F122" i="3"/>
  <c r="F121" i="3"/>
  <c r="E117" i="3"/>
  <c r="F117" i="3"/>
  <c r="G130" i="3"/>
  <c r="G134" i="3"/>
  <c r="B142" i="3"/>
  <c r="B137" i="3"/>
  <c r="B148" i="3"/>
  <c r="B150" i="3"/>
  <c r="B114" i="3"/>
  <c r="B111" i="3"/>
  <c r="B109" i="3"/>
  <c r="B113" i="3"/>
  <c r="B90" i="3"/>
  <c r="B94" i="3"/>
  <c r="B89" i="3"/>
  <c r="B93" i="3"/>
  <c r="B88" i="3"/>
  <c r="B92" i="3"/>
  <c r="E129" i="3"/>
  <c r="D133" i="3"/>
  <c r="B128" i="3"/>
  <c r="F126" i="3"/>
  <c r="B124" i="3"/>
  <c r="B120" i="3"/>
  <c r="B116" i="3"/>
  <c r="C132" i="3"/>
  <c r="G135" i="3"/>
  <c r="E134" i="3"/>
  <c r="C133" i="3"/>
  <c r="G131" i="3"/>
  <c r="E130" i="3"/>
  <c r="E126" i="3"/>
  <c r="F135" i="3"/>
  <c r="D134" i="3"/>
  <c r="B133" i="3"/>
  <c r="F131" i="3"/>
  <c r="D130" i="3"/>
  <c r="B129" i="3"/>
  <c r="F127" i="3"/>
  <c r="B125" i="3"/>
  <c r="F123" i="3"/>
  <c r="B117" i="3"/>
  <c r="G82" i="3"/>
  <c r="G74" i="3"/>
  <c r="E143" i="3"/>
  <c r="G136" i="3"/>
  <c r="E135" i="3"/>
  <c r="C134" i="3"/>
  <c r="G132" i="3"/>
  <c r="E131" i="3"/>
  <c r="C130" i="3"/>
  <c r="E127" i="3"/>
  <c r="E123" i="3"/>
  <c r="E91" i="3"/>
  <c r="G83" i="3"/>
  <c r="B158" i="3" s="1"/>
  <c r="F82" i="3"/>
  <c r="G75" i="3"/>
  <c r="F74" i="3"/>
  <c r="E125" i="3"/>
  <c r="F136" i="3"/>
  <c r="D135" i="3"/>
  <c r="B134" i="3"/>
  <c r="F132" i="3"/>
  <c r="D131" i="3"/>
  <c r="F128" i="3"/>
  <c r="F124" i="3"/>
  <c r="B122" i="3"/>
  <c r="F92" i="3"/>
  <c r="F88" i="3"/>
  <c r="I78" i="3"/>
  <c r="G126" i="3" s="1"/>
  <c r="G76" i="3"/>
  <c r="B112" i="3" s="1"/>
  <c r="C136" i="3"/>
  <c r="E140" i="3"/>
  <c r="E136" i="3"/>
  <c r="C135" i="3"/>
  <c r="G133" i="3"/>
  <c r="E132" i="3"/>
  <c r="E128" i="3"/>
  <c r="E124" i="3"/>
  <c r="E92" i="3"/>
  <c r="I18" i="1"/>
  <c r="B15" i="6"/>
  <c r="B16" i="6" s="1"/>
  <c r="D24" i="2"/>
  <c r="D26" i="2" s="1"/>
  <c r="L24" i="2"/>
  <c r="H25" i="2"/>
  <c r="J25" i="2"/>
  <c r="E21" i="1"/>
  <c r="D15" i="6"/>
  <c r="N64" i="2"/>
  <c r="K64" i="2"/>
  <c r="I17" i="1"/>
  <c r="H17" i="1"/>
  <c r="E8" i="2"/>
  <c r="F8" i="2" s="1"/>
  <c r="G8" i="2" s="1"/>
  <c r="H8" i="2" s="1"/>
  <c r="I8" i="2" s="1"/>
  <c r="J8" i="2" s="1"/>
  <c r="K8" i="2" s="1"/>
  <c r="L8" i="2" s="1"/>
  <c r="M8" i="2" s="1"/>
  <c r="N8" i="2" s="1"/>
  <c r="H18" i="1"/>
  <c r="F21" i="1"/>
  <c r="J24" i="2"/>
  <c r="K25" i="2"/>
  <c r="K26" i="2" s="1"/>
  <c r="H16" i="1"/>
  <c r="C41" i="1"/>
  <c r="C58" i="1" s="1"/>
  <c r="D64" i="2"/>
  <c r="G9" i="1"/>
  <c r="C5" i="6"/>
  <c r="E13" i="6" s="1"/>
  <c r="I25" i="2"/>
  <c r="G25" i="2"/>
  <c r="I24" i="2"/>
  <c r="L64" i="2"/>
  <c r="N54" i="2"/>
  <c r="J64" i="2"/>
  <c r="L54" i="2"/>
  <c r="I16" i="1"/>
  <c r="E24" i="2"/>
  <c r="E26" i="2" s="1"/>
  <c r="M24" i="2"/>
  <c r="L25" i="2"/>
  <c r="F24" i="2"/>
  <c r="F26" i="2" s="1"/>
  <c r="N24" i="2"/>
  <c r="M25" i="2"/>
  <c r="J54" i="2"/>
  <c r="G24" i="2"/>
  <c r="N25" i="2"/>
  <c r="C48" i="2"/>
  <c r="K54" i="2"/>
  <c r="H24" i="2"/>
  <c r="M54" i="2"/>
  <c r="H20" i="7"/>
  <c r="B23" i="7" s="1"/>
  <c r="D13" i="6"/>
  <c r="D14" i="6"/>
  <c r="D16" i="6"/>
  <c r="B17" i="6"/>
  <c r="C16" i="6"/>
  <c r="B75" i="7"/>
  <c r="G20" i="7"/>
  <c r="C9" i="6"/>
  <c r="C15" i="6"/>
  <c r="B121" i="3" l="1"/>
  <c r="B146" i="3"/>
  <c r="B119" i="3"/>
  <c r="B144" i="3"/>
  <c r="B138" i="3"/>
  <c r="B147" i="3"/>
  <c r="E146" i="3"/>
  <c r="E149" i="3"/>
  <c r="F149" i="3"/>
  <c r="H81" i="3"/>
  <c r="E145" i="3"/>
  <c r="F147" i="3"/>
  <c r="B149" i="3"/>
  <c r="F144" i="3"/>
  <c r="G125" i="3"/>
  <c r="B141" i="3"/>
  <c r="I80" i="3"/>
  <c r="G137" i="3" s="1"/>
  <c r="F138" i="3"/>
  <c r="F139" i="3"/>
  <c r="E137" i="3"/>
  <c r="F137" i="3"/>
  <c r="E138" i="3"/>
  <c r="F141" i="3"/>
  <c r="E142" i="3"/>
  <c r="E141" i="3"/>
  <c r="F143" i="3"/>
  <c r="H80" i="3"/>
  <c r="F142" i="3"/>
  <c r="G145" i="3"/>
  <c r="G147" i="3"/>
  <c r="G150" i="3"/>
  <c r="G123" i="3"/>
  <c r="B110" i="3"/>
  <c r="B143" i="3"/>
  <c r="G148" i="3"/>
  <c r="G129" i="3"/>
  <c r="G149" i="3"/>
  <c r="F140" i="3"/>
  <c r="G128" i="3"/>
  <c r="E139" i="3"/>
  <c r="B139" i="3"/>
  <c r="G146" i="3"/>
  <c r="E88" i="3"/>
  <c r="E89" i="3"/>
  <c r="F94" i="3"/>
  <c r="I73" i="3"/>
  <c r="G90" i="3" s="1"/>
  <c r="E93" i="3"/>
  <c r="F93" i="3"/>
  <c r="F89" i="3"/>
  <c r="E90" i="3"/>
  <c r="F90" i="3"/>
  <c r="H73" i="3"/>
  <c r="B91" i="3"/>
  <c r="F91" i="3"/>
  <c r="E94" i="3"/>
  <c r="G124" i="3"/>
  <c r="G140" i="3"/>
  <c r="G127" i="3"/>
  <c r="E104" i="3"/>
  <c r="E108" i="3"/>
  <c r="F104" i="3"/>
  <c r="F108" i="3"/>
  <c r="F105" i="3"/>
  <c r="E103" i="3"/>
  <c r="E107" i="3"/>
  <c r="H75" i="3"/>
  <c r="F103" i="3"/>
  <c r="F107" i="3"/>
  <c r="I75" i="3"/>
  <c r="G105" i="3" s="1"/>
  <c r="E102" i="3"/>
  <c r="E106" i="3"/>
  <c r="F102" i="3"/>
  <c r="F106" i="3"/>
  <c r="E105" i="3"/>
  <c r="G116" i="3"/>
  <c r="G117" i="3"/>
  <c r="B107" i="3"/>
  <c r="B154" i="3"/>
  <c r="B152" i="3"/>
  <c r="B153" i="3"/>
  <c r="B157" i="3"/>
  <c r="B156" i="3"/>
  <c r="B151" i="3"/>
  <c r="B155" i="3"/>
  <c r="E160" i="3"/>
  <c r="E164" i="3"/>
  <c r="E158" i="3"/>
  <c r="F160" i="3"/>
  <c r="F164" i="3"/>
  <c r="E162" i="3"/>
  <c r="F162" i="3"/>
  <c r="E161" i="3"/>
  <c r="E159" i="3"/>
  <c r="E163" i="3"/>
  <c r="H83" i="3"/>
  <c r="F159" i="3"/>
  <c r="F163" i="3"/>
  <c r="I83" i="3"/>
  <c r="G161" i="3" s="1"/>
  <c r="F158" i="3"/>
  <c r="F161" i="3"/>
  <c r="B163" i="3"/>
  <c r="B103" i="3"/>
  <c r="B159" i="3"/>
  <c r="G119" i="3"/>
  <c r="G118" i="3"/>
  <c r="B108" i="3"/>
  <c r="B164" i="3"/>
  <c r="B104" i="3"/>
  <c r="E96" i="3"/>
  <c r="E100" i="3"/>
  <c r="F96" i="3"/>
  <c r="F100" i="3"/>
  <c r="E95" i="3"/>
  <c r="E99" i="3"/>
  <c r="G100" i="3"/>
  <c r="F95" i="3"/>
  <c r="F99" i="3"/>
  <c r="H74" i="3"/>
  <c r="E98" i="3"/>
  <c r="I74" i="3"/>
  <c r="G98" i="3" s="1"/>
  <c r="F98" i="3"/>
  <c r="F101" i="3"/>
  <c r="E97" i="3"/>
  <c r="E101" i="3"/>
  <c r="F97" i="3"/>
  <c r="B105" i="3"/>
  <c r="E152" i="3"/>
  <c r="E156" i="3"/>
  <c r="F152" i="3"/>
  <c r="F156" i="3"/>
  <c r="E154" i="3"/>
  <c r="F154" i="3"/>
  <c r="F153" i="3"/>
  <c r="E151" i="3"/>
  <c r="E155" i="3"/>
  <c r="G156" i="3"/>
  <c r="F151" i="3"/>
  <c r="F155" i="3"/>
  <c r="E157" i="3"/>
  <c r="H82" i="3"/>
  <c r="E153" i="3"/>
  <c r="I82" i="3"/>
  <c r="G154" i="3" s="1"/>
  <c r="F157" i="3"/>
  <c r="B161" i="3"/>
  <c r="B160" i="3"/>
  <c r="G122" i="3"/>
  <c r="G120" i="3"/>
  <c r="C119" i="3"/>
  <c r="D119" i="3"/>
  <c r="D116" i="3"/>
  <c r="C118" i="3"/>
  <c r="C122" i="3"/>
  <c r="D118" i="3"/>
  <c r="D122" i="3"/>
  <c r="C117" i="3"/>
  <c r="C121" i="3"/>
  <c r="D120" i="3"/>
  <c r="D117" i="3"/>
  <c r="D121" i="3"/>
  <c r="C116" i="3"/>
  <c r="C120" i="3"/>
  <c r="B106" i="3"/>
  <c r="E112" i="3"/>
  <c r="F112" i="3"/>
  <c r="H76" i="3"/>
  <c r="E111" i="3"/>
  <c r="E115" i="3"/>
  <c r="I76" i="3"/>
  <c r="G112" i="3" s="1"/>
  <c r="F111" i="3"/>
  <c r="F115" i="3"/>
  <c r="E110" i="3"/>
  <c r="E114" i="3"/>
  <c r="E113" i="3"/>
  <c r="F110" i="3"/>
  <c r="F114" i="3"/>
  <c r="F109" i="3"/>
  <c r="F113" i="3"/>
  <c r="E109" i="3"/>
  <c r="B98" i="3"/>
  <c r="B95" i="3"/>
  <c r="B97" i="3"/>
  <c r="B101" i="3"/>
  <c r="B96" i="3"/>
  <c r="B100" i="3"/>
  <c r="B99" i="3"/>
  <c r="B115" i="3"/>
  <c r="B162" i="3"/>
  <c r="B102" i="3"/>
  <c r="I21" i="1"/>
  <c r="C6" i="2" s="1"/>
  <c r="D6" i="2" s="1"/>
  <c r="L26" i="2"/>
  <c r="M26" i="2"/>
  <c r="H21" i="1"/>
  <c r="H26" i="2"/>
  <c r="J26" i="2"/>
  <c r="F13" i="6"/>
  <c r="G26" i="2"/>
  <c r="G13" i="6"/>
  <c r="B76" i="7"/>
  <c r="B77" i="7" s="1"/>
  <c r="C59" i="1"/>
  <c r="C60" i="1" s="1"/>
  <c r="C50" i="2"/>
  <c r="N26" i="2"/>
  <c r="D9" i="2"/>
  <c r="E6" i="2"/>
  <c r="I26" i="2"/>
  <c r="B18" i="6"/>
  <c r="C17" i="6"/>
  <c r="D17" i="6"/>
  <c r="C10" i="6"/>
  <c r="C69" i="2"/>
  <c r="G94" i="3" l="1"/>
  <c r="C147" i="3"/>
  <c r="C145" i="3"/>
  <c r="C146" i="3"/>
  <c r="D148" i="3"/>
  <c r="D147" i="3"/>
  <c r="C149" i="3"/>
  <c r="D150" i="3"/>
  <c r="D149" i="3"/>
  <c r="D145" i="3"/>
  <c r="C150" i="3"/>
  <c r="C148" i="3"/>
  <c r="D146" i="3"/>
  <c r="C144" i="3"/>
  <c r="D144" i="3"/>
  <c r="G97" i="3"/>
  <c r="G103" i="3"/>
  <c r="G162" i="3"/>
  <c r="G106" i="3"/>
  <c r="G139" i="3"/>
  <c r="G114" i="3"/>
  <c r="G101" i="3"/>
  <c r="G163" i="3"/>
  <c r="G160" i="3"/>
  <c r="G104" i="3"/>
  <c r="C139" i="3"/>
  <c r="D137" i="3"/>
  <c r="C141" i="3"/>
  <c r="D141" i="3"/>
  <c r="C140" i="3"/>
  <c r="D140" i="3"/>
  <c r="D143" i="3"/>
  <c r="D142" i="3"/>
  <c r="D138" i="3"/>
  <c r="C137" i="3"/>
  <c r="C138" i="3"/>
  <c r="D139" i="3"/>
  <c r="C143" i="3"/>
  <c r="C142" i="3"/>
  <c r="G99" i="3"/>
  <c r="G111" i="3"/>
  <c r="G159" i="3"/>
  <c r="G96" i="3"/>
  <c r="G113" i="3"/>
  <c r="G95" i="3"/>
  <c r="G158" i="3"/>
  <c r="G164" i="3"/>
  <c r="G91" i="3"/>
  <c r="G88" i="3"/>
  <c r="G93" i="3"/>
  <c r="G92" i="3"/>
  <c r="G89" i="3"/>
  <c r="G142" i="3"/>
  <c r="G141" i="3"/>
  <c r="G138" i="3"/>
  <c r="G143" i="3"/>
  <c r="C91" i="3"/>
  <c r="C92" i="3"/>
  <c r="C88" i="3"/>
  <c r="D92" i="3"/>
  <c r="D90" i="3"/>
  <c r="D93" i="3"/>
  <c r="C93" i="3"/>
  <c r="D88" i="3"/>
  <c r="C89" i="3"/>
  <c r="D94" i="3"/>
  <c r="D89" i="3"/>
  <c r="C90" i="3"/>
  <c r="C94" i="3"/>
  <c r="D91" i="3"/>
  <c r="C159" i="3"/>
  <c r="C163" i="3"/>
  <c r="D159" i="3"/>
  <c r="D163" i="3"/>
  <c r="C158" i="3"/>
  <c r="C162" i="3"/>
  <c r="D158" i="3"/>
  <c r="D162" i="3"/>
  <c r="C161" i="3"/>
  <c r="C164" i="3"/>
  <c r="D161" i="3"/>
  <c r="C160" i="3"/>
  <c r="D160" i="3"/>
  <c r="D164" i="3"/>
  <c r="G102" i="3"/>
  <c r="C111" i="3"/>
  <c r="C115" i="3"/>
  <c r="D111" i="3"/>
  <c r="D115" i="3"/>
  <c r="C112" i="3"/>
  <c r="C110" i="3"/>
  <c r="C114" i="3"/>
  <c r="D110" i="3"/>
  <c r="D114" i="3"/>
  <c r="C109" i="3"/>
  <c r="C113" i="3"/>
  <c r="D109" i="3"/>
  <c r="D113" i="3"/>
  <c r="D112" i="3"/>
  <c r="C103" i="3"/>
  <c r="C107" i="3"/>
  <c r="D103" i="3"/>
  <c r="D107" i="3"/>
  <c r="D104" i="3"/>
  <c r="C102" i="3"/>
  <c r="C106" i="3"/>
  <c r="D102" i="3"/>
  <c r="D106" i="3"/>
  <c r="C105" i="3"/>
  <c r="D108" i="3"/>
  <c r="D105" i="3"/>
  <c r="C104" i="3"/>
  <c r="C108" i="3"/>
  <c r="G152" i="3"/>
  <c r="C151" i="3"/>
  <c r="C155" i="3"/>
  <c r="D151" i="3"/>
  <c r="D155" i="3"/>
  <c r="C152" i="3"/>
  <c r="C154" i="3"/>
  <c r="C156" i="3"/>
  <c r="D154" i="3"/>
  <c r="C157" i="3"/>
  <c r="C153" i="3"/>
  <c r="D156" i="3"/>
  <c r="D153" i="3"/>
  <c r="D157" i="3"/>
  <c r="D152" i="3"/>
  <c r="G107" i="3"/>
  <c r="G108" i="3"/>
  <c r="C95" i="3"/>
  <c r="C99" i="3"/>
  <c r="D95" i="3"/>
  <c r="D99" i="3"/>
  <c r="D100" i="3"/>
  <c r="C98" i="3"/>
  <c r="D98" i="3"/>
  <c r="C97" i="3"/>
  <c r="C101" i="3"/>
  <c r="D97" i="3"/>
  <c r="D101" i="3"/>
  <c r="D96" i="3"/>
  <c r="C96" i="3"/>
  <c r="C100" i="3"/>
  <c r="G155" i="3"/>
  <c r="G157" i="3"/>
  <c r="G109" i="3"/>
  <c r="G151" i="3"/>
  <c r="G153" i="3"/>
  <c r="G110" i="3"/>
  <c r="G115" i="3"/>
  <c r="H13" i="6"/>
  <c r="I13" i="6" s="1"/>
  <c r="E14" i="6" s="1"/>
  <c r="F14" i="6" s="1"/>
  <c r="H14" i="6" s="1"/>
  <c r="I14" i="6" s="1"/>
  <c r="E15" i="6" s="1"/>
  <c r="G14" i="6"/>
  <c r="E9" i="2"/>
  <c r="F6" i="2"/>
  <c r="B19" i="6"/>
  <c r="D18" i="6"/>
  <c r="C18" i="6"/>
  <c r="D10" i="2"/>
  <c r="D11" i="2" s="1"/>
  <c r="D54" i="2"/>
  <c r="D14" i="2" l="1"/>
  <c r="G15" i="6"/>
  <c r="F15" i="6"/>
  <c r="H15" i="6" s="1"/>
  <c r="I15" i="6" s="1"/>
  <c r="E16" i="6" s="1"/>
  <c r="D19" i="6"/>
  <c r="C19" i="6"/>
  <c r="B20" i="6"/>
  <c r="E10" i="2"/>
  <c r="E11" i="2" s="1"/>
  <c r="C75" i="2"/>
  <c r="F9" i="2"/>
  <c r="G6" i="2"/>
  <c r="G16" i="6" l="1"/>
  <c r="F16" i="6"/>
  <c r="H16" i="6" s="1"/>
  <c r="I16" i="6" s="1"/>
  <c r="E17" i="6" s="1"/>
  <c r="D20" i="6"/>
  <c r="B21" i="6"/>
  <c r="C20" i="6"/>
  <c r="G9" i="2"/>
  <c r="H6" i="2"/>
  <c r="F10" i="2"/>
  <c r="F11" i="2" s="1"/>
  <c r="D19" i="2"/>
  <c r="E14" i="2"/>
  <c r="G17" i="6" l="1"/>
  <c r="F17" i="6"/>
  <c r="B22" i="6"/>
  <c r="C21" i="6"/>
  <c r="D21" i="6"/>
  <c r="H9" i="2"/>
  <c r="I6" i="2"/>
  <c r="E19" i="2"/>
  <c r="F14" i="2"/>
  <c r="D35" i="2"/>
  <c r="G10" i="2"/>
  <c r="G11" i="2"/>
  <c r="H17" i="6" l="1"/>
  <c r="I17" i="6" s="1"/>
  <c r="E18" i="6" s="1"/>
  <c r="G18" i="6" s="1"/>
  <c r="D28" i="2"/>
  <c r="D65" i="2"/>
  <c r="D34" i="2"/>
  <c r="E35" i="2"/>
  <c r="E21" i="2"/>
  <c r="H10" i="2"/>
  <c r="H11" i="2" s="1"/>
  <c r="B23" i="6"/>
  <c r="D22" i="6"/>
  <c r="C22" i="6"/>
  <c r="F19" i="2"/>
  <c r="G14" i="2"/>
  <c r="I9" i="2"/>
  <c r="J6" i="2"/>
  <c r="F18" i="6" l="1"/>
  <c r="H18" i="6"/>
  <c r="I18" i="6" s="1"/>
  <c r="E19" i="6" s="1"/>
  <c r="G19" i="6"/>
  <c r="F19" i="6"/>
  <c r="H19" i="6" s="1"/>
  <c r="I19" i="6" s="1"/>
  <c r="E20" i="6" s="1"/>
  <c r="J9" i="2"/>
  <c r="K6" i="2"/>
  <c r="I10" i="2"/>
  <c r="I11" i="2" s="1"/>
  <c r="D23" i="6"/>
  <c r="C23" i="6"/>
  <c r="B24" i="6"/>
  <c r="D33" i="2"/>
  <c r="D29" i="2"/>
  <c r="E32" i="2"/>
  <c r="E34" i="2"/>
  <c r="E28" i="2"/>
  <c r="E65" i="2"/>
  <c r="H14" i="2"/>
  <c r="G19" i="2"/>
  <c r="F35" i="2"/>
  <c r="F21" i="2"/>
  <c r="E29" i="2" l="1"/>
  <c r="G20" i="6"/>
  <c r="F20" i="6"/>
  <c r="H20" i="6" s="1"/>
  <c r="I20" i="6" s="1"/>
  <c r="E21" i="6" s="1"/>
  <c r="I14" i="2"/>
  <c r="H19" i="2"/>
  <c r="K9" i="2"/>
  <c r="L6" i="2"/>
  <c r="F65" i="2"/>
  <c r="F34" i="2"/>
  <c r="F32" i="2"/>
  <c r="F28" i="2"/>
  <c r="F64" i="2"/>
  <c r="J10" i="2"/>
  <c r="J11" i="2" s="1"/>
  <c r="E55" i="2"/>
  <c r="E54" i="2"/>
  <c r="E33" i="2"/>
  <c r="D24" i="6"/>
  <c r="B25" i="6"/>
  <c r="C24" i="6"/>
  <c r="G35" i="2"/>
  <c r="G21" i="2"/>
  <c r="C47" i="3" l="1"/>
  <c r="C63" i="3"/>
  <c r="C57" i="3"/>
  <c r="C41" i="3"/>
  <c r="C40" i="3"/>
  <c r="C56" i="3"/>
  <c r="C65" i="3"/>
  <c r="C49" i="3"/>
  <c r="C45" i="3"/>
  <c r="C61" i="3"/>
  <c r="C42" i="3"/>
  <c r="C58" i="3"/>
  <c r="C66" i="3"/>
  <c r="C50" i="3"/>
  <c r="C48" i="3"/>
  <c r="C64" i="3"/>
  <c r="C59" i="3"/>
  <c r="C43" i="3"/>
  <c r="C60" i="3"/>
  <c r="C44" i="3"/>
  <c r="C46" i="3"/>
  <c r="C62" i="3"/>
  <c r="G21" i="6"/>
  <c r="F21" i="6"/>
  <c r="F33" i="2"/>
  <c r="F55" i="2"/>
  <c r="F54" i="2"/>
  <c r="K10" i="2"/>
  <c r="K11" i="2" s="1"/>
  <c r="B26" i="6"/>
  <c r="C25" i="6"/>
  <c r="D25" i="6"/>
  <c r="H35" i="2"/>
  <c r="H21" i="2"/>
  <c r="I19" i="2"/>
  <c r="J14" i="2"/>
  <c r="L9" i="2"/>
  <c r="M6" i="2"/>
  <c r="F29" i="2"/>
  <c r="G34" i="2"/>
  <c r="G65" i="2"/>
  <c r="G32" i="2"/>
  <c r="G28" i="2"/>
  <c r="G64" i="2"/>
  <c r="H21" i="6" l="1"/>
  <c r="I21" i="6" s="1"/>
  <c r="E22" i="6" s="1"/>
  <c r="G22" i="6" s="1"/>
  <c r="J19" i="2"/>
  <c r="K14" i="2"/>
  <c r="G55" i="2"/>
  <c r="G54" i="2"/>
  <c r="G33" i="2"/>
  <c r="G29" i="2"/>
  <c r="I35" i="2"/>
  <c r="I21" i="2"/>
  <c r="B27" i="6"/>
  <c r="D26" i="6"/>
  <c r="C26" i="6"/>
  <c r="H65" i="2"/>
  <c r="H34" i="2"/>
  <c r="H32" i="2"/>
  <c r="H28" i="2"/>
  <c r="H64" i="2"/>
  <c r="M9" i="2"/>
  <c r="N6" i="2"/>
  <c r="N9" i="2" s="1"/>
  <c r="L10" i="2"/>
  <c r="L11" i="2" s="1"/>
  <c r="F49" i="3" l="1"/>
  <c r="G60" i="3"/>
  <c r="H40" i="3"/>
  <c r="D46" i="3"/>
  <c r="H66" i="3"/>
  <c r="F22" i="6"/>
  <c r="G44" i="3"/>
  <c r="J64" i="3"/>
  <c r="E64" i="3"/>
  <c r="J41" i="3"/>
  <c r="D41" i="3"/>
  <c r="E63" i="3"/>
  <c r="F47" i="3"/>
  <c r="F62" i="3"/>
  <c r="D48" i="3"/>
  <c r="G46" i="3"/>
  <c r="E62" i="3"/>
  <c r="F48" i="3"/>
  <c r="D47" i="3"/>
  <c r="J46" i="3"/>
  <c r="H41" i="3"/>
  <c r="G47" i="3"/>
  <c r="I41" i="3"/>
  <c r="I46" i="3"/>
  <c r="G64" i="3"/>
  <c r="E56" i="3"/>
  <c r="J40" i="3"/>
  <c r="F57" i="3"/>
  <c r="F56" i="3"/>
  <c r="I56" i="3"/>
  <c r="H47" i="3"/>
  <c r="E57" i="3"/>
  <c r="G40" i="3"/>
  <c r="D40" i="3"/>
  <c r="G41" i="3"/>
  <c r="I47" i="3"/>
  <c r="H46" i="3"/>
  <c r="H48" i="3"/>
  <c r="D50" i="3"/>
  <c r="D44" i="3"/>
  <c r="J50" i="3"/>
  <c r="D43" i="3"/>
  <c r="J65" i="3"/>
  <c r="J42" i="3"/>
  <c r="E44" i="3"/>
  <c r="I59" i="3"/>
  <c r="H43" i="3"/>
  <c r="F44" i="3"/>
  <c r="I45" i="3"/>
  <c r="H49" i="3"/>
  <c r="H42" i="3"/>
  <c r="J44" i="3"/>
  <c r="G50" i="3"/>
  <c r="F43" i="3"/>
  <c r="D61" i="3"/>
  <c r="J45" i="3"/>
  <c r="E45" i="3"/>
  <c r="E58" i="3"/>
  <c r="G45" i="3"/>
  <c r="I42" i="3"/>
  <c r="H60" i="3"/>
  <c r="D49" i="3"/>
  <c r="I44" i="3"/>
  <c r="E49" i="3"/>
  <c r="F45" i="3"/>
  <c r="F66" i="3"/>
  <c r="D42" i="3"/>
  <c r="I65" i="3"/>
  <c r="F42" i="3"/>
  <c r="G43" i="3"/>
  <c r="G49" i="3"/>
  <c r="J59" i="3"/>
  <c r="J63" i="3"/>
  <c r="F65" i="3"/>
  <c r="I61" i="3"/>
  <c r="H61" i="3"/>
  <c r="E66" i="3"/>
  <c r="D63" i="3"/>
  <c r="E43" i="3"/>
  <c r="H56" i="3"/>
  <c r="D57" i="3"/>
  <c r="J47" i="3"/>
  <c r="E50" i="3"/>
  <c r="I60" i="3"/>
  <c r="E48" i="3"/>
  <c r="D59" i="3"/>
  <c r="I48" i="3"/>
  <c r="I62" i="3"/>
  <c r="G58" i="3"/>
  <c r="F64" i="3"/>
  <c r="K19" i="2"/>
  <c r="L14" i="2"/>
  <c r="H33" i="2"/>
  <c r="H55" i="2"/>
  <c r="H54" i="2"/>
  <c r="I65" i="2"/>
  <c r="I28" i="2"/>
  <c r="C44" i="2" a="1"/>
  <c r="C44" i="2" s="1"/>
  <c r="I34" i="2"/>
  <c r="I32" i="2"/>
  <c r="I64" i="2"/>
  <c r="J35" i="2"/>
  <c r="J21" i="2"/>
  <c r="N10" i="2"/>
  <c r="N11" i="2" s="1"/>
  <c r="D27" i="6"/>
  <c r="C27" i="6"/>
  <c r="B28" i="6"/>
  <c r="H22" i="6"/>
  <c r="I22" i="6" s="1"/>
  <c r="E23" i="6" s="1"/>
  <c r="M10" i="2"/>
  <c r="M11" i="2" s="1"/>
  <c r="H29" i="2"/>
  <c r="E47" i="3" l="1"/>
  <c r="J57" i="3"/>
  <c r="G65" i="3"/>
  <c r="J49" i="3"/>
  <c r="D58" i="3"/>
  <c r="J56" i="3"/>
  <c r="G42" i="3"/>
  <c r="F50" i="3"/>
  <c r="E59" i="3"/>
  <c r="I63" i="3"/>
  <c r="J61" i="3"/>
  <c r="F61" i="3"/>
  <c r="E41" i="3"/>
  <c r="F41" i="3"/>
  <c r="J43" i="3"/>
  <c r="F59" i="3"/>
  <c r="H58" i="3"/>
  <c r="G66" i="3"/>
  <c r="E46" i="3"/>
  <c r="G48" i="3"/>
  <c r="D60" i="3"/>
  <c r="F63" i="3"/>
  <c r="E61" i="3"/>
  <c r="H50" i="3"/>
  <c r="H65" i="3"/>
  <c r="G56" i="3"/>
  <c r="J66" i="3"/>
  <c r="E42" i="3"/>
  <c r="H63" i="3"/>
  <c r="H45" i="3"/>
  <c r="I40" i="3"/>
  <c r="F46" i="3"/>
  <c r="D62" i="3"/>
  <c r="G61" i="3"/>
  <c r="I49" i="3"/>
  <c r="H59" i="3"/>
  <c r="E40" i="3"/>
  <c r="G63" i="3"/>
  <c r="G57" i="3"/>
  <c r="J62" i="3"/>
  <c r="I64" i="3"/>
  <c r="F40" i="3"/>
  <c r="I43" i="3"/>
  <c r="I57" i="3"/>
  <c r="H44" i="3"/>
  <c r="D65" i="3"/>
  <c r="J48" i="3"/>
  <c r="D64" i="3"/>
  <c r="H57" i="3"/>
  <c r="D66" i="3"/>
  <c r="E60" i="3"/>
  <c r="D45" i="3"/>
  <c r="I58" i="3"/>
  <c r="J60" i="3"/>
  <c r="H64" i="3"/>
  <c r="H62" i="3"/>
  <c r="I66" i="3"/>
  <c r="I50" i="3"/>
  <c r="D56" i="3"/>
  <c r="G59" i="3"/>
  <c r="E65" i="3"/>
  <c r="G62" i="3"/>
  <c r="F60" i="3"/>
  <c r="F58" i="3"/>
  <c r="J58" i="3"/>
  <c r="C67" i="2"/>
  <c r="C68" i="2"/>
  <c r="C46" i="2"/>
  <c r="I29" i="2"/>
  <c r="J34" i="2"/>
  <c r="J32" i="2"/>
  <c r="J28" i="2"/>
  <c r="J65" i="2"/>
  <c r="L19" i="2"/>
  <c r="M14" i="2"/>
  <c r="K35" i="2"/>
  <c r="K21" i="2"/>
  <c r="D28" i="6"/>
  <c r="B29" i="6"/>
  <c r="C28" i="6"/>
  <c r="G23" i="6"/>
  <c r="F23" i="6"/>
  <c r="I55" i="2"/>
  <c r="C59" i="2" s="1"/>
  <c r="I33" i="2"/>
  <c r="J29" i="2" l="1"/>
  <c r="C60" i="2"/>
  <c r="H23" i="6"/>
  <c r="I23" i="6" s="1"/>
  <c r="E24" i="6" s="1"/>
  <c r="J33" i="2"/>
  <c r="J55" i="2"/>
  <c r="K28" i="2"/>
  <c r="K32" i="2"/>
  <c r="K34" i="2"/>
  <c r="K65" i="2"/>
  <c r="B30" i="6"/>
  <c r="C29" i="6"/>
  <c r="D29" i="6"/>
  <c r="K29" i="2"/>
  <c r="M19" i="2"/>
  <c r="N14" i="2"/>
  <c r="N19" i="2" s="1"/>
  <c r="L35" i="2"/>
  <c r="L21" i="2"/>
  <c r="M35" i="2" l="1"/>
  <c r="M21" i="2"/>
  <c r="C58" i="2"/>
  <c r="C73" i="2"/>
  <c r="G24" i="6"/>
  <c r="F24" i="6"/>
  <c r="K55" i="2"/>
  <c r="K33" i="2"/>
  <c r="L34" i="2"/>
  <c r="L32" i="2"/>
  <c r="L28" i="2"/>
  <c r="L65" i="2"/>
  <c r="N35" i="2"/>
  <c r="N21" i="2"/>
  <c r="B31" i="6"/>
  <c r="D30" i="6"/>
  <c r="C30" i="6"/>
  <c r="H24" i="6" l="1"/>
  <c r="I24" i="6" s="1"/>
  <c r="E25" i="6" s="1"/>
  <c r="G25" i="6" s="1"/>
  <c r="C74" i="2"/>
  <c r="C76" i="2" s="1"/>
  <c r="C77" i="2" s="1"/>
  <c r="L55" i="2"/>
  <c r="L33" i="2"/>
  <c r="M32" i="2"/>
  <c r="M34" i="2"/>
  <c r="M28" i="2"/>
  <c r="M65" i="2"/>
  <c r="D31" i="6"/>
  <c r="C31" i="6"/>
  <c r="B32" i="6"/>
  <c r="L29" i="2"/>
  <c r="N34" i="2"/>
  <c r="N32" i="2"/>
  <c r="N28" i="2"/>
  <c r="N65" i="2"/>
  <c r="C78" i="2" l="1"/>
  <c r="C79" i="2" s="1"/>
  <c r="C80" i="2" s="1"/>
  <c r="F25" i="6"/>
  <c r="H25" i="6"/>
  <c r="I25" i="6" s="1"/>
  <c r="E26" i="6" s="1"/>
  <c r="G26" i="6" s="1"/>
  <c r="D32" i="6"/>
  <c r="B33" i="6"/>
  <c r="C32" i="6"/>
  <c r="N33" i="2"/>
  <c r="N55" i="2"/>
  <c r="M55" i="2"/>
  <c r="M33" i="2"/>
  <c r="M29" i="2"/>
  <c r="N29" i="2" s="1"/>
  <c r="F26" i="6" l="1"/>
  <c r="H26" i="6" s="1"/>
  <c r="I26" i="6" s="1"/>
  <c r="E27" i="6" s="1"/>
  <c r="G27" i="6" s="1"/>
  <c r="B34" i="6"/>
  <c r="C33" i="6"/>
  <c r="D33" i="6"/>
  <c r="F27" i="6" l="1"/>
  <c r="H27" i="6" s="1"/>
  <c r="I27" i="6" s="1"/>
  <c r="E28" i="6" s="1"/>
  <c r="G28" i="6" s="1"/>
  <c r="B35" i="6"/>
  <c r="D34" i="6"/>
  <c r="C34" i="6"/>
  <c r="F28" i="6" l="1"/>
  <c r="H28" i="6"/>
  <c r="I28" i="6" s="1"/>
  <c r="E29" i="6" s="1"/>
  <c r="G29" i="6"/>
  <c r="F29" i="6"/>
  <c r="H29" i="6" s="1"/>
  <c r="I29" i="6" s="1"/>
  <c r="E30" i="6" s="1"/>
  <c r="D35" i="6"/>
  <c r="C35" i="6"/>
  <c r="B36" i="6"/>
  <c r="G30" i="6" l="1"/>
  <c r="F30" i="6"/>
  <c r="D36" i="6"/>
  <c r="B37" i="6"/>
  <c r="C36" i="6"/>
  <c r="H30" i="6" l="1"/>
  <c r="I30" i="6" s="1"/>
  <c r="E31" i="6" s="1"/>
  <c r="G31" i="6" s="1"/>
  <c r="B38" i="6"/>
  <c r="C37" i="6"/>
  <c r="D37" i="6"/>
  <c r="F31" i="6" l="1"/>
  <c r="H31" i="6" s="1"/>
  <c r="I31" i="6" s="1"/>
  <c r="E32" i="6" s="1"/>
  <c r="G32" i="6"/>
  <c r="F32" i="6"/>
  <c r="D38" i="6"/>
  <c r="F38" i="6" s="1"/>
  <c r="B39" i="6"/>
  <c r="C38" i="6"/>
  <c r="H32" i="6" l="1"/>
  <c r="I32" i="6" s="1"/>
  <c r="E33" i="6" s="1"/>
  <c r="G33" i="6" s="1"/>
  <c r="F33" i="6"/>
  <c r="D39" i="6"/>
  <c r="F39" i="6" s="1"/>
  <c r="C39" i="6"/>
  <c r="B40" i="6"/>
  <c r="H33" i="6" l="1"/>
  <c r="I33" i="6" s="1"/>
  <c r="E34" i="6" s="1"/>
  <c r="G34" i="6"/>
  <c r="F34" i="6"/>
  <c r="H34" i="6" s="1"/>
  <c r="I34" i="6" s="1"/>
  <c r="E35" i="6" s="1"/>
  <c r="B41" i="6"/>
  <c r="C40" i="6"/>
  <c r="D40" i="6"/>
  <c r="F40" i="6" s="1"/>
  <c r="G35" i="6" l="1"/>
  <c r="F35" i="6"/>
  <c r="H35" i="6" s="1"/>
  <c r="I35" i="6" s="1"/>
  <c r="E36" i="6" s="1"/>
  <c r="B42" i="6"/>
  <c r="C41" i="6"/>
  <c r="D41" i="6"/>
  <c r="F41" i="6" s="1"/>
  <c r="G36" i="6" l="1"/>
  <c r="F36" i="6"/>
  <c r="H36" i="6" s="1"/>
  <c r="I36" i="6" s="1"/>
  <c r="E37" i="6" s="1"/>
  <c r="B43" i="6"/>
  <c r="D42" i="6"/>
  <c r="F42" i="6" s="1"/>
  <c r="C42" i="6"/>
  <c r="H37" i="6" l="1"/>
  <c r="I37" i="6" s="1"/>
  <c r="E38" i="6" s="1"/>
  <c r="C43" i="6"/>
  <c r="B44" i="6"/>
  <c r="D43" i="6"/>
  <c r="F43" i="6" s="1"/>
  <c r="G38" i="6" l="1"/>
  <c r="H38" i="6" s="1"/>
  <c r="I38" i="6" s="1"/>
  <c r="E39" i="6" s="1"/>
  <c r="D44" i="6"/>
  <c r="F44" i="6" s="1"/>
  <c r="C44" i="6"/>
  <c r="B45" i="6"/>
  <c r="G39" i="6" l="1"/>
  <c r="H39" i="6" s="1"/>
  <c r="I39" i="6" s="1"/>
  <c r="E40" i="6" s="1"/>
  <c r="B46" i="6"/>
  <c r="D45" i="6"/>
  <c r="F45" i="6" s="1"/>
  <c r="C45" i="6"/>
  <c r="G40" i="6" l="1"/>
  <c r="H40" i="6" s="1"/>
  <c r="I40" i="6" s="1"/>
  <c r="E41" i="6" s="1"/>
  <c r="B47" i="6"/>
  <c r="C46" i="6"/>
  <c r="D46" i="6"/>
  <c r="F46" i="6" s="1"/>
  <c r="G41" i="6" l="1"/>
  <c r="H41" i="6" s="1"/>
  <c r="I41" i="6" s="1"/>
  <c r="E42" i="6" s="1"/>
  <c r="C47" i="6"/>
  <c r="D47" i="6"/>
  <c r="F47" i="6" s="1"/>
  <c r="B48" i="6"/>
  <c r="G42" i="6" l="1"/>
  <c r="H42" i="6" s="1"/>
  <c r="I42" i="6" s="1"/>
  <c r="E43" i="6" s="1"/>
  <c r="D48" i="6"/>
  <c r="F48" i="6" s="1"/>
  <c r="C48" i="6"/>
  <c r="B49" i="6"/>
  <c r="G43" i="6" l="1"/>
  <c r="H43" i="6" s="1"/>
  <c r="I43" i="6" s="1"/>
  <c r="E44" i="6" s="1"/>
  <c r="D49" i="6"/>
  <c r="F49" i="6" s="1"/>
  <c r="C49" i="6"/>
  <c r="B50" i="6"/>
  <c r="G44" i="6" l="1"/>
  <c r="H44" i="6" s="1"/>
  <c r="I44" i="6" s="1"/>
  <c r="E45" i="6" s="1"/>
  <c r="B51" i="6"/>
  <c r="D50" i="6"/>
  <c r="F50" i="6" s="1"/>
  <c r="C50" i="6"/>
  <c r="G45" i="6" l="1"/>
  <c r="H45" i="6" s="1"/>
  <c r="I45" i="6" s="1"/>
  <c r="E46" i="6" s="1"/>
  <c r="B52" i="6"/>
  <c r="C51" i="6"/>
  <c r="D51" i="6"/>
  <c r="F51" i="6" s="1"/>
  <c r="G46" i="6" l="1"/>
  <c r="H46" i="6" s="1"/>
  <c r="I46" i="6" s="1"/>
  <c r="E47" i="6" s="1"/>
  <c r="B53" i="6"/>
  <c r="C52" i="6"/>
  <c r="D52" i="6"/>
  <c r="F52" i="6" s="1"/>
  <c r="G47" i="6" l="1"/>
  <c r="H47" i="6" s="1"/>
  <c r="I47" i="6" s="1"/>
  <c r="E48" i="6" s="1"/>
  <c r="C53" i="6"/>
  <c r="B54" i="6"/>
  <c r="D53" i="6"/>
  <c r="F53" i="6" s="1"/>
  <c r="G48" i="6" l="1"/>
  <c r="H48" i="6" s="1"/>
  <c r="I48" i="6" s="1"/>
  <c r="E49" i="6" s="1"/>
  <c r="D54" i="6"/>
  <c r="F54" i="6" s="1"/>
  <c r="C54" i="6"/>
  <c r="B55" i="6"/>
  <c r="G49" i="6" l="1"/>
  <c r="H49" i="6" s="1"/>
  <c r="I49" i="6" s="1"/>
  <c r="E50" i="6" s="1"/>
  <c r="D55" i="6"/>
  <c r="F55" i="6" s="1"/>
  <c r="C55" i="6"/>
  <c r="B56" i="6"/>
  <c r="G50" i="6" l="1"/>
  <c r="H50" i="6" s="1"/>
  <c r="I50" i="6" s="1"/>
  <c r="E51" i="6" s="1"/>
  <c r="B57" i="6"/>
  <c r="C56" i="6"/>
  <c r="D56" i="6"/>
  <c r="F56" i="6" s="1"/>
  <c r="G51" i="6" l="1"/>
  <c r="H51" i="6" s="1"/>
  <c r="I51" i="6" s="1"/>
  <c r="E52" i="6" s="1"/>
  <c r="C57" i="6"/>
  <c r="D57" i="6"/>
  <c r="F57" i="6" s="1"/>
  <c r="B58" i="6"/>
  <c r="G52" i="6" l="1"/>
  <c r="H52" i="6" s="1"/>
  <c r="I52" i="6" s="1"/>
  <c r="E53" i="6" s="1"/>
  <c r="C58" i="6"/>
  <c r="B59" i="6"/>
  <c r="D58" i="6"/>
  <c r="F58" i="6" s="1"/>
  <c r="G53" i="6" l="1"/>
  <c r="H53" i="6" s="1"/>
  <c r="I53" i="6" s="1"/>
  <c r="E54" i="6" s="1"/>
  <c r="B60" i="6"/>
  <c r="D59" i="6"/>
  <c r="F59" i="6" s="1"/>
  <c r="C59" i="6"/>
  <c r="G54" i="6" l="1"/>
  <c r="H54" i="6" s="1"/>
  <c r="I54" i="6" s="1"/>
  <c r="E55" i="6" s="1"/>
  <c r="B61" i="6"/>
  <c r="D60" i="6"/>
  <c r="F60" i="6" s="1"/>
  <c r="C60" i="6"/>
  <c r="G55" i="6" l="1"/>
  <c r="H55" i="6" s="1"/>
  <c r="I55" i="6" s="1"/>
  <c r="E56" i="6" s="1"/>
  <c r="C61" i="6"/>
  <c r="D61" i="6"/>
  <c r="F61" i="6" s="1"/>
  <c r="B62" i="6"/>
  <c r="G56" i="6" l="1"/>
  <c r="H56" i="6" s="1"/>
  <c r="I56" i="6" s="1"/>
  <c r="E57" i="6" s="1"/>
  <c r="D62" i="6"/>
  <c r="F62" i="6" s="1"/>
  <c r="C62" i="6"/>
  <c r="B63" i="6"/>
  <c r="G57" i="6" l="1"/>
  <c r="H57" i="6" s="1"/>
  <c r="I57" i="6" s="1"/>
  <c r="E58" i="6" s="1"/>
  <c r="D63" i="6"/>
  <c r="F63" i="6" s="1"/>
  <c r="C63" i="6"/>
  <c r="B64" i="6"/>
  <c r="G58" i="6" l="1"/>
  <c r="H58" i="6" s="1"/>
  <c r="I58" i="6" s="1"/>
  <c r="E59" i="6" s="1"/>
  <c r="C64" i="6"/>
  <c r="B65" i="6"/>
  <c r="D64" i="6"/>
  <c r="F64" i="6" s="1"/>
  <c r="G59" i="6" l="1"/>
  <c r="H59" i="6" s="1"/>
  <c r="I59" i="6" s="1"/>
  <c r="E60" i="6" s="1"/>
  <c r="D65" i="6"/>
  <c r="F65" i="6" s="1"/>
  <c r="C65" i="6"/>
  <c r="B66" i="6"/>
  <c r="G60" i="6" l="1"/>
  <c r="H60" i="6" s="1"/>
  <c r="I60" i="6" s="1"/>
  <c r="E61" i="6" s="1"/>
  <c r="D66" i="6"/>
  <c r="F66" i="6" s="1"/>
  <c r="C66" i="6"/>
  <c r="B67" i="6"/>
  <c r="G61" i="6" l="1"/>
  <c r="H61" i="6" s="1"/>
  <c r="I61" i="6" s="1"/>
  <c r="E62" i="6" s="1"/>
  <c r="B68" i="6"/>
  <c r="D67" i="6"/>
  <c r="F67" i="6" s="1"/>
  <c r="C67" i="6"/>
  <c r="G62" i="6" l="1"/>
  <c r="H62" i="6" s="1"/>
  <c r="I62" i="6" s="1"/>
  <c r="E63" i="6" s="1"/>
  <c r="B69" i="6"/>
  <c r="D68" i="6"/>
  <c r="F68" i="6" s="1"/>
  <c r="C68" i="6"/>
  <c r="G63" i="6" l="1"/>
  <c r="H63" i="6" s="1"/>
  <c r="I63" i="6" s="1"/>
  <c r="E64" i="6" s="1"/>
  <c r="C69" i="6"/>
  <c r="D69" i="6"/>
  <c r="F69" i="6" s="1"/>
  <c r="B70" i="6"/>
  <c r="G64" i="6" l="1"/>
  <c r="H64" i="6" s="1"/>
  <c r="I64" i="6" s="1"/>
  <c r="E65" i="6" s="1"/>
  <c r="D70" i="6"/>
  <c r="F70" i="6" s="1"/>
  <c r="C70" i="6"/>
  <c r="B71" i="6"/>
  <c r="G65" i="6" l="1"/>
  <c r="H65" i="6" s="1"/>
  <c r="I65" i="6" s="1"/>
  <c r="E66" i="6" s="1"/>
  <c r="D71" i="6"/>
  <c r="F71" i="6" s="1"/>
  <c r="C71" i="6"/>
  <c r="B72" i="6"/>
  <c r="G66" i="6" l="1"/>
  <c r="H66" i="6" s="1"/>
  <c r="I66" i="6" s="1"/>
  <c r="E67" i="6" s="1"/>
  <c r="D72" i="6"/>
  <c r="F72" i="6" s="1"/>
  <c r="C72" i="6"/>
  <c r="B73" i="6"/>
  <c r="G67" i="6" l="1"/>
  <c r="H67" i="6" s="1"/>
  <c r="I67" i="6" s="1"/>
  <c r="E68" i="6" s="1"/>
  <c r="B74" i="6"/>
  <c r="D73" i="6"/>
  <c r="F73" i="6" s="1"/>
  <c r="C73" i="6"/>
  <c r="G68" i="6" l="1"/>
  <c r="H68" i="6" s="1"/>
  <c r="I68" i="6" s="1"/>
  <c r="E69" i="6" s="1"/>
  <c r="D74" i="6"/>
  <c r="F74" i="6" s="1"/>
  <c r="C74" i="6"/>
  <c r="B75" i="6"/>
  <c r="G69" i="6" l="1"/>
  <c r="H69" i="6" s="1"/>
  <c r="I69" i="6" s="1"/>
  <c r="E70" i="6" s="1"/>
  <c r="B76" i="6"/>
  <c r="D75" i="6"/>
  <c r="F75" i="6" s="1"/>
  <c r="C75" i="6"/>
  <c r="G70" i="6" l="1"/>
  <c r="H70" i="6" s="1"/>
  <c r="I70" i="6" s="1"/>
  <c r="E71" i="6" s="1"/>
  <c r="B77" i="6"/>
  <c r="D76" i="6"/>
  <c r="F76" i="6" s="1"/>
  <c r="C76" i="6"/>
  <c r="G71" i="6" l="1"/>
  <c r="H71" i="6" s="1"/>
  <c r="I71" i="6" s="1"/>
  <c r="E72" i="6" s="1"/>
  <c r="C77" i="6"/>
  <c r="B78" i="6"/>
  <c r="D77" i="6"/>
  <c r="F77" i="6" s="1"/>
  <c r="G72" i="6" l="1"/>
  <c r="H72" i="6" s="1"/>
  <c r="I72" i="6" s="1"/>
  <c r="E73" i="6" s="1"/>
  <c r="D78" i="6"/>
  <c r="F78" i="6" s="1"/>
  <c r="C78" i="6"/>
  <c r="B79" i="6"/>
  <c r="G73" i="6" l="1"/>
  <c r="H73" i="6" s="1"/>
  <c r="I73" i="6" s="1"/>
  <c r="E74" i="6" s="1"/>
  <c r="D79" i="6"/>
  <c r="F79" i="6" s="1"/>
  <c r="B80" i="6"/>
  <c r="C79" i="6"/>
  <c r="G74" i="6" l="1"/>
  <c r="H74" i="6" s="1"/>
  <c r="I74" i="6" s="1"/>
  <c r="E75" i="6" s="1"/>
  <c r="D80" i="6"/>
  <c r="F80" i="6" s="1"/>
  <c r="C80" i="6"/>
  <c r="B81" i="6"/>
  <c r="G75" i="6" l="1"/>
  <c r="H75" i="6" s="1"/>
  <c r="I75" i="6" s="1"/>
  <c r="E76" i="6" s="1"/>
  <c r="D81" i="6"/>
  <c r="F81" i="6" s="1"/>
  <c r="B82" i="6"/>
  <c r="C81" i="6"/>
  <c r="G76" i="6" l="1"/>
  <c r="H76" i="6" s="1"/>
  <c r="I76" i="6" s="1"/>
  <c r="E77" i="6" s="1"/>
  <c r="B83" i="6"/>
  <c r="D82" i="6"/>
  <c r="F82" i="6" s="1"/>
  <c r="C82" i="6"/>
  <c r="G77" i="6" l="1"/>
  <c r="H77" i="6" s="1"/>
  <c r="I77" i="6" s="1"/>
  <c r="E78" i="6" s="1"/>
  <c r="B84" i="6"/>
  <c r="C83" i="6"/>
  <c r="D83" i="6"/>
  <c r="F83" i="6" s="1"/>
  <c r="G78" i="6" l="1"/>
  <c r="H78" i="6" s="1"/>
  <c r="I78" i="6" s="1"/>
  <c r="E79" i="6" s="1"/>
  <c r="B85" i="6"/>
  <c r="D84" i="6"/>
  <c r="F84" i="6" s="1"/>
  <c r="C84" i="6"/>
  <c r="G79" i="6" l="1"/>
  <c r="H79" i="6" s="1"/>
  <c r="I79" i="6" s="1"/>
  <c r="E80" i="6" s="1"/>
  <c r="C85" i="6"/>
  <c r="B86" i="6"/>
  <c r="D85" i="6"/>
  <c r="F85" i="6" s="1"/>
  <c r="G80" i="6" l="1"/>
  <c r="H80" i="6" s="1"/>
  <c r="I80" i="6" s="1"/>
  <c r="E81" i="6" s="1"/>
  <c r="D86" i="6"/>
  <c r="F86" i="6" s="1"/>
  <c r="C86" i="6"/>
  <c r="B87" i="6"/>
  <c r="G81" i="6" l="1"/>
  <c r="H81" i="6" s="1"/>
  <c r="I81" i="6" s="1"/>
  <c r="E82" i="6" s="1"/>
  <c r="D87" i="6"/>
  <c r="F87" i="6" s="1"/>
  <c r="B88" i="6"/>
  <c r="C87" i="6"/>
  <c r="G82" i="6" l="1"/>
  <c r="H82" i="6" s="1"/>
  <c r="I82" i="6" s="1"/>
  <c r="E83" i="6" s="1"/>
  <c r="B89" i="6"/>
  <c r="D88" i="6"/>
  <c r="F88" i="6" s="1"/>
  <c r="C88" i="6"/>
  <c r="G83" i="6" l="1"/>
  <c r="H83" i="6" s="1"/>
  <c r="I83" i="6" s="1"/>
  <c r="E84" i="6" s="1"/>
  <c r="C89" i="6"/>
  <c r="B90" i="6"/>
  <c r="D89" i="6"/>
  <c r="F89" i="6" s="1"/>
  <c r="G84" i="6" l="1"/>
  <c r="H84" i="6" s="1"/>
  <c r="I84" i="6" s="1"/>
  <c r="E85" i="6" s="1"/>
  <c r="B91" i="6"/>
  <c r="D90" i="6"/>
  <c r="F90" i="6" s="1"/>
  <c r="C90" i="6"/>
  <c r="G85" i="6" l="1"/>
  <c r="H85" i="6" s="1"/>
  <c r="I85" i="6" s="1"/>
  <c r="E86" i="6" s="1"/>
  <c r="B92" i="6"/>
  <c r="D91" i="6"/>
  <c r="F91" i="6" s="1"/>
  <c r="C91" i="6"/>
  <c r="G86" i="6" l="1"/>
  <c r="H86" i="6" s="1"/>
  <c r="I86" i="6" s="1"/>
  <c r="E87" i="6" s="1"/>
  <c r="B93" i="6"/>
  <c r="D92" i="6"/>
  <c r="F92" i="6" s="1"/>
  <c r="C92" i="6"/>
  <c r="G87" i="6" l="1"/>
  <c r="H87" i="6" s="1"/>
  <c r="I87" i="6" s="1"/>
  <c r="E88" i="6" s="1"/>
  <c r="C93" i="6"/>
  <c r="B94" i="6"/>
  <c r="D93" i="6"/>
  <c r="F93" i="6" s="1"/>
  <c r="G88" i="6" l="1"/>
  <c r="H88" i="6" s="1"/>
  <c r="I88" i="6" s="1"/>
  <c r="E89" i="6" s="1"/>
  <c r="D94" i="6"/>
  <c r="F94" i="6" s="1"/>
  <c r="C94" i="6"/>
  <c r="B95" i="6"/>
  <c r="G89" i="6" l="1"/>
  <c r="H89" i="6" s="1"/>
  <c r="I89" i="6" s="1"/>
  <c r="E90" i="6" s="1"/>
  <c r="D95" i="6"/>
  <c r="F95" i="6" s="1"/>
  <c r="C95" i="6"/>
  <c r="B96" i="6"/>
  <c r="G90" i="6" l="1"/>
  <c r="H90" i="6" s="1"/>
  <c r="I90" i="6" s="1"/>
  <c r="E91" i="6" s="1"/>
  <c r="B97" i="6"/>
  <c r="D96" i="6"/>
  <c r="F96" i="6" s="1"/>
  <c r="C96" i="6"/>
  <c r="G91" i="6" l="1"/>
  <c r="H91" i="6" s="1"/>
  <c r="I91" i="6" s="1"/>
  <c r="E92" i="6" s="1"/>
  <c r="B98" i="6"/>
  <c r="D97" i="6"/>
  <c r="F97" i="6" s="1"/>
  <c r="C97" i="6"/>
  <c r="G92" i="6" l="1"/>
  <c r="H92" i="6" s="1"/>
  <c r="I92" i="6" s="1"/>
  <c r="E93" i="6" s="1"/>
  <c r="D98" i="6"/>
  <c r="F98" i="6" s="1"/>
  <c r="C98" i="6"/>
  <c r="B99" i="6"/>
  <c r="G93" i="6" l="1"/>
  <c r="H93" i="6" s="1"/>
  <c r="I93" i="6" s="1"/>
  <c r="E94" i="6" s="1"/>
  <c r="B100" i="6"/>
  <c r="D99" i="6"/>
  <c r="F99" i="6" s="1"/>
  <c r="C99" i="6"/>
  <c r="G94" i="6" l="1"/>
  <c r="H94" i="6" s="1"/>
  <c r="I94" i="6" s="1"/>
  <c r="E95" i="6" s="1"/>
  <c r="B101" i="6"/>
  <c r="D100" i="6"/>
  <c r="F100" i="6" s="1"/>
  <c r="C100" i="6"/>
  <c r="G95" i="6" l="1"/>
  <c r="H95" i="6" s="1"/>
  <c r="I95" i="6" s="1"/>
  <c r="E96" i="6" s="1"/>
  <c r="C101" i="6"/>
  <c r="D101" i="6"/>
  <c r="F101" i="6" s="1"/>
  <c r="B102" i="6"/>
  <c r="G96" i="6" l="1"/>
  <c r="H96" i="6" s="1"/>
  <c r="I96" i="6" s="1"/>
  <c r="E97" i="6" s="1"/>
  <c r="D102" i="6"/>
  <c r="F102" i="6" s="1"/>
  <c r="C102" i="6"/>
  <c r="B103" i="6"/>
  <c r="G97" i="6" l="1"/>
  <c r="H97" i="6" s="1"/>
  <c r="I97" i="6" s="1"/>
  <c r="E98" i="6" s="1"/>
  <c r="D103" i="6"/>
  <c r="F103" i="6" s="1"/>
  <c r="B104" i="6"/>
  <c r="C103" i="6"/>
  <c r="G98" i="6" l="1"/>
  <c r="H98" i="6" s="1"/>
  <c r="I98" i="6" s="1"/>
  <c r="E99" i="6" s="1"/>
  <c r="D104" i="6"/>
  <c r="F104" i="6" s="1"/>
  <c r="C104" i="6"/>
  <c r="B105" i="6"/>
  <c r="G99" i="6" l="1"/>
  <c r="H99" i="6" s="1"/>
  <c r="I99" i="6" s="1"/>
  <c r="E100" i="6" s="1"/>
  <c r="B106" i="6"/>
  <c r="C105" i="6"/>
  <c r="D105" i="6"/>
  <c r="F105" i="6" s="1"/>
  <c r="G100" i="6" l="1"/>
  <c r="H100" i="6" s="1"/>
  <c r="I100" i="6" s="1"/>
  <c r="E101" i="6" s="1"/>
  <c r="D106" i="6"/>
  <c r="F106" i="6" s="1"/>
  <c r="C106" i="6"/>
  <c r="B107" i="6"/>
  <c r="G101" i="6" l="1"/>
  <c r="H101" i="6" s="1"/>
  <c r="I101" i="6" s="1"/>
  <c r="E102" i="6" s="1"/>
  <c r="B108" i="6"/>
  <c r="D107" i="6"/>
  <c r="F107" i="6" s="1"/>
  <c r="C107" i="6"/>
  <c r="G102" i="6" l="1"/>
  <c r="H102" i="6" s="1"/>
  <c r="I102" i="6" s="1"/>
  <c r="E103" i="6" s="1"/>
  <c r="B109" i="6"/>
  <c r="D108" i="6"/>
  <c r="F108" i="6" s="1"/>
  <c r="C108" i="6"/>
  <c r="G103" i="6" l="1"/>
  <c r="H103" i="6" s="1"/>
  <c r="I103" i="6" s="1"/>
  <c r="E104" i="6" s="1"/>
  <c r="C109" i="6"/>
  <c r="B110" i="6"/>
  <c r="D109" i="6"/>
  <c r="F109" i="6" s="1"/>
  <c r="G104" i="6" l="1"/>
  <c r="H104" i="6" s="1"/>
  <c r="I104" i="6" s="1"/>
  <c r="E105" i="6" s="1"/>
  <c r="D110" i="6"/>
  <c r="F110" i="6" s="1"/>
  <c r="C110" i="6"/>
  <c r="B111" i="6"/>
  <c r="G105" i="6" l="1"/>
  <c r="H105" i="6" s="1"/>
  <c r="I105" i="6" s="1"/>
  <c r="E106" i="6" s="1"/>
  <c r="D111" i="6"/>
  <c r="F111" i="6" s="1"/>
  <c r="C111" i="6"/>
  <c r="B112" i="6"/>
  <c r="G106" i="6" l="1"/>
  <c r="H106" i="6" s="1"/>
  <c r="I106" i="6" s="1"/>
  <c r="E107" i="6" s="1"/>
  <c r="D112" i="6"/>
  <c r="F112" i="6" s="1"/>
  <c r="C112" i="6"/>
  <c r="B113" i="6"/>
  <c r="G107" i="6" l="1"/>
  <c r="H107" i="6" s="1"/>
  <c r="I107" i="6" s="1"/>
  <c r="E108" i="6" s="1"/>
  <c r="B114" i="6"/>
  <c r="D113" i="6"/>
  <c r="F113" i="6" s="1"/>
  <c r="C113" i="6"/>
  <c r="G108" i="6" l="1"/>
  <c r="H108" i="6" s="1"/>
  <c r="I108" i="6" s="1"/>
  <c r="E109" i="6" s="1"/>
  <c r="C114" i="6"/>
  <c r="B115" i="6"/>
  <c r="D114" i="6"/>
  <c r="F114" i="6" s="1"/>
  <c r="G109" i="6" l="1"/>
  <c r="H109" i="6" s="1"/>
  <c r="I109" i="6" s="1"/>
  <c r="E110" i="6" s="1"/>
  <c r="B116" i="6"/>
  <c r="C115" i="6"/>
  <c r="D115" i="6"/>
  <c r="F115" i="6" s="1"/>
  <c r="G110" i="6" l="1"/>
  <c r="H110" i="6" s="1"/>
  <c r="I110" i="6" s="1"/>
  <c r="E111" i="6" s="1"/>
  <c r="B117" i="6"/>
  <c r="C116" i="6"/>
  <c r="D116" i="6"/>
  <c r="F116" i="6" s="1"/>
  <c r="G111" i="6" l="1"/>
  <c r="H111" i="6" s="1"/>
  <c r="I111" i="6" s="1"/>
  <c r="E112" i="6" s="1"/>
  <c r="C117" i="6"/>
  <c r="B118" i="6"/>
  <c r="D117" i="6"/>
  <c r="F117" i="6" s="1"/>
  <c r="G112" i="6" l="1"/>
  <c r="H112" i="6" s="1"/>
  <c r="I112" i="6" s="1"/>
  <c r="E113" i="6" s="1"/>
  <c r="D118" i="6"/>
  <c r="F118" i="6" s="1"/>
  <c r="C118" i="6"/>
  <c r="B119" i="6"/>
  <c r="G113" i="6" l="1"/>
  <c r="H113" i="6" s="1"/>
  <c r="I113" i="6" s="1"/>
  <c r="E114" i="6" s="1"/>
  <c r="D119" i="6"/>
  <c r="F119" i="6" s="1"/>
  <c r="C119" i="6"/>
  <c r="B120" i="6"/>
  <c r="G114" i="6" l="1"/>
  <c r="H114" i="6" s="1"/>
  <c r="I114" i="6" s="1"/>
  <c r="E115" i="6" s="1"/>
  <c r="D120" i="6"/>
  <c r="F120" i="6" s="1"/>
  <c r="B121" i="6"/>
  <c r="C120" i="6"/>
  <c r="G115" i="6" l="1"/>
  <c r="H115" i="6" s="1"/>
  <c r="I115" i="6" s="1"/>
  <c r="E116" i="6" s="1"/>
  <c r="D121" i="6"/>
  <c r="F121" i="6" s="1"/>
  <c r="C121" i="6"/>
  <c r="B122" i="6"/>
  <c r="G116" i="6" l="1"/>
  <c r="H116" i="6" s="1"/>
  <c r="I116" i="6" s="1"/>
  <c r="E117" i="6" s="1"/>
  <c r="D122" i="6"/>
  <c r="F122" i="6" s="1"/>
  <c r="C122" i="6"/>
  <c r="B123" i="6"/>
  <c r="G117" i="6" l="1"/>
  <c r="H117" i="6" s="1"/>
  <c r="I117" i="6" s="1"/>
  <c r="E118" i="6" s="1"/>
  <c r="B124" i="6"/>
  <c r="D123" i="6"/>
  <c r="F123" i="6" s="1"/>
  <c r="C123" i="6"/>
  <c r="G118" i="6" l="1"/>
  <c r="H118" i="6" s="1"/>
  <c r="I118" i="6" s="1"/>
  <c r="E119" i="6" s="1"/>
  <c r="B125" i="6"/>
  <c r="D124" i="6"/>
  <c r="F124" i="6" s="1"/>
  <c r="C124" i="6"/>
  <c r="G119" i="6" l="1"/>
  <c r="H119" i="6" s="1"/>
  <c r="I119" i="6" s="1"/>
  <c r="E120" i="6" s="1"/>
  <c r="C125" i="6"/>
  <c r="B126" i="6"/>
  <c r="D125" i="6"/>
  <c r="F125" i="6" s="1"/>
  <c r="G120" i="6" l="1"/>
  <c r="H120" i="6" s="1"/>
  <c r="I120" i="6" s="1"/>
  <c r="E121" i="6" s="1"/>
  <c r="D126" i="6"/>
  <c r="F126" i="6" s="1"/>
  <c r="C126" i="6"/>
  <c r="B127" i="6"/>
  <c r="G121" i="6" l="1"/>
  <c r="H121" i="6" s="1"/>
  <c r="I121" i="6" s="1"/>
  <c r="E122" i="6" s="1"/>
  <c r="D127" i="6"/>
  <c r="F127" i="6" s="1"/>
  <c r="C127" i="6"/>
  <c r="B128" i="6"/>
  <c r="G122" i="6" l="1"/>
  <c r="H122" i="6" s="1"/>
  <c r="I122" i="6" s="1"/>
  <c r="E123" i="6" s="1"/>
  <c r="D128" i="6"/>
  <c r="F128" i="6" s="1"/>
  <c r="B129" i="6"/>
  <c r="C128" i="6"/>
  <c r="G123" i="6" l="1"/>
  <c r="H123" i="6" s="1"/>
  <c r="I123" i="6" s="1"/>
  <c r="E124" i="6" s="1"/>
  <c r="D129" i="6"/>
  <c r="F129" i="6" s="1"/>
  <c r="C129" i="6"/>
  <c r="B130" i="6"/>
  <c r="G124" i="6" l="1"/>
  <c r="H124" i="6" s="1"/>
  <c r="I124" i="6" s="1"/>
  <c r="E125" i="6" s="1"/>
  <c r="D130" i="6"/>
  <c r="F130" i="6" s="1"/>
  <c r="B131" i="6"/>
  <c r="C130" i="6"/>
  <c r="G125" i="6" l="1"/>
  <c r="H125" i="6" s="1"/>
  <c r="I125" i="6" s="1"/>
  <c r="E126" i="6" s="1"/>
  <c r="B132" i="6"/>
  <c r="D131" i="6"/>
  <c r="F131" i="6" s="1"/>
  <c r="C131" i="6"/>
  <c r="G126" i="6" l="1"/>
  <c r="H126" i="6" s="1"/>
  <c r="I126" i="6" s="1"/>
  <c r="E127" i="6" s="1"/>
  <c r="D132" i="6"/>
  <c r="F132" i="6" s="1"/>
  <c r="C132" i="6"/>
  <c r="G127" i="6" l="1"/>
  <c r="H127" i="6" s="1"/>
  <c r="I127" i="6" s="1"/>
  <c r="E128" i="6" s="1"/>
  <c r="G128" i="6" l="1"/>
  <c r="H128" i="6" s="1"/>
  <c r="I128" i="6" s="1"/>
  <c r="E129" i="6" s="1"/>
  <c r="G129" i="6" l="1"/>
  <c r="H129" i="6" s="1"/>
  <c r="I129" i="6" s="1"/>
  <c r="E130" i="6" s="1"/>
  <c r="G130" i="6" l="1"/>
  <c r="H130" i="6" s="1"/>
  <c r="I130" i="6" s="1"/>
  <c r="E131" i="6" s="1"/>
  <c r="G131" i="6" l="1"/>
  <c r="H131" i="6" s="1"/>
  <c r="I131" i="6" s="1"/>
  <c r="E132" i="6" s="1"/>
  <c r="G132" i="6" l="1"/>
  <c r="H132" i="6" s="1"/>
  <c r="I1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 Moutopoulos</author>
  </authors>
  <commentList>
    <comment ref="C6" authorId="0" shapeId="0" xr:uid="{00000000-0006-0000-0100-000001000000}">
      <text>
        <r>
          <rPr>
            <sz val="12"/>
            <color rgb="FF000000"/>
            <rFont val="Calibri"/>
            <family val="2"/>
            <charset val="1"/>
          </rPr>
          <t xml:space="preserve">NikoMoutopoulos:
</t>
        </r>
        <r>
          <rPr>
            <sz val="12"/>
            <color rgb="FF000000"/>
            <rFont val="Calibri"/>
            <family val="2"/>
            <charset val="1"/>
          </rPr>
          <t>Base Year GPR from Rent Comp tab F36</t>
        </r>
      </text>
    </comment>
    <comment ref="E7" authorId="0" shapeId="0" xr:uid="{00000000-0006-0000-0100-000002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From Assumptions!B55</t>
        </r>
      </text>
    </comment>
    <comment ref="F7" authorId="0" shapeId="0" xr:uid="{00000000-0006-0000-0100-000003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From Assumptions!B56</t>
        </r>
      </text>
    </comment>
    <comment ref="G7" authorId="0" shapeId="0" xr:uid="{00000000-0006-0000-0100-000004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From Assumptions!B57</t>
        </r>
      </text>
    </comment>
    <comment ref="H7" authorId="0" shapeId="0" xr:uid="{00000000-0006-0000-0100-000005000000}">
      <text>
        <r>
          <rPr>
            <sz val="12"/>
            <color theme="1"/>
            <rFont val="Calibri"/>
            <family val="2"/>
            <charset val="1"/>
          </rPr>
          <t>Niko Moutopoulos:
From Assumptions!B58</t>
        </r>
      </text>
    </comment>
    <comment ref="I7" authorId="0" shapeId="0" xr:uid="{00000000-0006-0000-0100-000006000000}">
      <text>
        <r>
          <rPr>
            <sz val="12"/>
            <color theme="1"/>
            <rFont val="Calibri"/>
            <family val="2"/>
            <charset val="1"/>
          </rPr>
          <t>Niko Moutopoulos:
From Assumptions!B59</t>
        </r>
      </text>
    </comment>
    <comment ref="J7" authorId="0" shapeId="0" xr:uid="{00000000-0006-0000-0100-000007000000}">
      <text>
        <r>
          <rPr>
            <sz val="12"/>
            <color theme="1"/>
            <rFont val="Calibri"/>
            <family val="2"/>
            <charset val="1"/>
          </rPr>
          <t>Niko Moutopoulos:
From Assumptions!B60</t>
        </r>
      </text>
    </comment>
    <comment ref="K7" authorId="0" shapeId="0" xr:uid="{00000000-0006-0000-0100-000008000000}">
      <text>
        <r>
          <rPr>
            <sz val="12"/>
            <color theme="1"/>
            <rFont val="Calibri"/>
            <family val="2"/>
            <charset val="1"/>
          </rPr>
          <t>Niko Moutopoulos:
From Assumptions!B61</t>
        </r>
      </text>
    </comment>
    <comment ref="L7" authorId="0" shapeId="0" xr:uid="{00000000-0006-0000-0100-000009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From Assumptions!B62</t>
        </r>
      </text>
    </comment>
    <comment ref="M7" authorId="0" shapeId="0" xr:uid="{00000000-0006-0000-0100-00000A000000}">
      <text>
        <r>
          <rPr>
            <sz val="12"/>
            <color theme="1"/>
            <rFont val="Calibri"/>
            <family val="2"/>
            <charset val="1"/>
          </rPr>
          <t>Niko Moutopoulos:
From Assumptions!B63</t>
        </r>
      </text>
    </comment>
    <comment ref="N7" authorId="0" shapeId="0" xr:uid="{00000000-0006-0000-0100-00000B000000}">
      <text>
        <r>
          <rPr>
            <sz val="12"/>
            <color theme="1"/>
            <rFont val="Calibri"/>
            <family val="2"/>
            <charset val="1"/>
          </rPr>
          <t>Niko Moutopoulos:
From Assumptions!B64</t>
        </r>
      </text>
    </comment>
    <comment ref="C8" authorId="0" shapeId="0" xr:uid="{00000000-0006-0000-0100-00000C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 xml:space="preserve">Other Income = 100 units </t>
        </r>
        <r>
          <rPr>
            <sz val="12"/>
            <color rgb="FF000000"/>
            <rFont val="Calibri"/>
            <family val="2"/>
            <charset val="1"/>
          </rPr>
          <t>×</t>
        </r>
        <r>
          <rPr>
            <sz val="12"/>
            <color rgb="FF000000"/>
            <rFont val="Calibri"/>
            <family val="2"/>
            <charset val="1"/>
          </rPr>
          <t xml:space="preserve"> $75/mo </t>
        </r>
        <r>
          <rPr>
            <sz val="12"/>
            <color rgb="FF000000"/>
            <rFont val="Calibri"/>
            <family val="2"/>
            <charset val="1"/>
          </rPr>
          <t>×</t>
        </r>
        <r>
          <rPr>
            <sz val="12"/>
            <color rgb="FF000000"/>
            <rFont val="Calibri"/>
            <family val="2"/>
            <charset val="1"/>
          </rPr>
          <t xml:space="preserve"> 12</t>
        </r>
      </text>
    </comment>
    <comment ref="C10" authorId="0" shapeId="0" xr:uid="{00000000-0006-0000-0100-00000D000000}">
      <text>
        <r>
          <rPr>
            <sz val="12"/>
            <color theme="1"/>
            <rFont val="Calibri"/>
            <family val="2"/>
            <charset val="1"/>
          </rPr>
          <t>Niko Moutopoulos:
From Assumptions!B23</t>
        </r>
      </text>
    </comment>
    <comment ref="C14" authorId="0" shapeId="0" xr:uid="{00000000-0006-0000-0100-00000E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 xml:space="preserve">100 units </t>
        </r>
        <r>
          <rPr>
            <sz val="12"/>
            <color rgb="FF000000"/>
            <rFont val="Calibri"/>
            <family val="2"/>
            <charset val="1"/>
          </rPr>
          <t>×</t>
        </r>
        <r>
          <rPr>
            <sz val="12"/>
            <color rgb="FF000000"/>
            <rFont val="Calibri"/>
            <family val="2"/>
            <charset val="1"/>
          </rPr>
          <t xml:space="preserve"> $2,400/yr from Assumptions!B28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 Moutopoulos</author>
  </authors>
  <commentList>
    <comment ref="B28" authorId="0" shapeId="0" xr:uid="{00000000-0006-0000-0200-000001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⚠️</t>
        </r>
        <r>
          <rPr>
            <sz val="12"/>
            <color rgb="FF000000"/>
            <rFont val="Calibri"/>
            <family val="2"/>
            <charset val="1"/>
          </rPr>
          <t xml:space="preserve"> MODEL NOTE: Preferred return is calculated as simple interest on TOTAL equity (GP+LP combined), not compounded annually and not LP-only equity. Institutionally, pref typically applies to LP equity only and accrues annually. If LP-only, the correct base is $5,028,750 (90% of total equity). Consider updating formula to: =B47*(1-B10)*B11*B5 for LP-only simple pref, or =B47*(1-B10)*((1+B11)^B5-1) for compounded.</t>
        </r>
      </text>
    </comment>
    <comment ref="B30" authorId="0" shapeId="0" xr:uid="{00000000-0006-0000-0200-000002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✅</t>
        </r>
        <r>
          <rPr>
            <sz val="12"/>
            <color rgb="FF000000"/>
            <rFont val="Calibri"/>
            <family val="2"/>
            <charset val="1"/>
          </rPr>
          <t xml:space="preserve"> Verified: GP Promote = 20% </t>
        </r>
        <r>
          <rPr>
            <sz val="12"/>
            <color rgb="FF000000"/>
            <rFont val="Calibri"/>
            <family val="2"/>
            <charset val="1"/>
          </rPr>
          <t>×</t>
        </r>
        <r>
          <rPr>
            <sz val="12"/>
            <color rgb="FF000000"/>
            <rFont val="Calibri"/>
            <family val="2"/>
            <charset val="1"/>
          </rPr>
          <t xml:space="preserve"> Profit Above Pref. This is a one-tier structure with no catch-up mechanism. Standard institutional structures often include a GP catch-up tier (e.g., GP receives 100% until reaching 20% of total profit) before the 80/20 split applies.</t>
        </r>
      </text>
    </comment>
    <comment ref="B31" authorId="0" shapeId="0" xr:uid="{00000000-0006-0000-0200-000003000000}">
      <text>
        <r>
          <rPr>
            <sz val="12"/>
            <color theme="1"/>
            <rFont val="Calibri"/>
            <family val="2"/>
            <charset val="1"/>
          </rPr>
          <t>Niko Moutopoulos:
⚠️ MODEL NOTE: GP Total = (Return of Capital × GP%) + GP Promote. This only captures the GP's return of contributed capital plus promote. It does NOT include the GP's pro-rata share of operating cash flows (which flow to LP Total as a residual). A complete waterfall should track GP operating distributions separately.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 Moutopoulos</author>
  </authors>
  <commentList>
    <comment ref="C5" authorId="0" shapeId="0" xr:uid="{00000000-0006-0000-0500-000001000000}">
      <text>
        <r>
          <rPr>
            <sz val="12"/>
            <color rgb="FF000000"/>
            <rFont val="Calibri"/>
            <family val="2"/>
            <charset val="1"/>
          </rPr>
          <t xml:space="preserve">Niko Moutopoulos:
</t>
        </r>
        <r>
          <rPr>
            <sz val="12"/>
            <color rgb="FF000000"/>
            <rFont val="Calibri"/>
            <family val="2"/>
            <charset val="1"/>
          </rPr>
          <t>From Assumptions!B38</t>
        </r>
      </text>
    </comment>
    <comment ref="C6" authorId="0" shapeId="0" xr:uid="{00000000-0006-0000-0500-000002000000}">
      <text>
        <r>
          <rPr>
            <sz val="12"/>
            <color theme="1"/>
            <rFont val="Calibri"/>
            <family val="2"/>
            <charset val="1"/>
          </rPr>
          <t>Niko Moutopoulos:
From Assumptions!B39</t>
        </r>
      </text>
    </comment>
    <comment ref="C7" authorId="0" shapeId="0" xr:uid="{00000000-0006-0000-0500-000003000000}">
      <text>
        <r>
          <rPr>
            <sz val="12"/>
            <color theme="1"/>
            <rFont val="Calibri"/>
            <family val="2"/>
            <charset val="1"/>
          </rPr>
          <t>Niko Moutopoulos:
From Assumptions!B40</t>
        </r>
      </text>
    </comment>
    <comment ref="C8" authorId="0" shapeId="0" xr:uid="{00000000-0006-0000-0500-000004000000}">
      <text>
        <r>
          <rPr>
            <sz val="12"/>
            <color theme="1"/>
            <rFont val="Calibri"/>
            <family val="2"/>
            <charset val="1"/>
          </rPr>
          <t>Niko Moutopoulos:
From Assumptions!B41</t>
        </r>
      </text>
    </comment>
  </commentList>
</comments>
</file>

<file path=xl/sharedStrings.xml><?xml version="1.0" encoding="utf-8"?>
<sst xmlns="http://schemas.openxmlformats.org/spreadsheetml/2006/main" count="1398" uniqueCount="577">
  <si>
    <t>ASSUMPTIONS — UNDERWRITING MODEL</t>
  </si>
  <si>
    <t>Property Name</t>
  </si>
  <si>
    <t>West 35th Street, Austin, Texas</t>
  </si>
  <si>
    <t>Search ID / Address</t>
  </si>
  <si>
    <t>SRCH-20260307-005  |  1717, West 35th Street, Military Heights, Austin, Travis County, Texas, 78756, United States</t>
  </si>
  <si>
    <t>① ACQUISITION &amp; PROPERTY</t>
  </si>
  <si>
    <t>── DEAL SNAPSHOT ──</t>
  </si>
  <si>
    <t xml:space="preserve">  Acquisition Price ($)</t>
  </si>
  <si>
    <t>Price / Unit</t>
  </si>
  <si>
    <t xml:space="preserve">  Closing Costs (%)</t>
  </si>
  <si>
    <t>CapEx / Unit</t>
  </si>
  <si>
    <t xml:space="preserve">  Closing Costs ($)</t>
  </si>
  <si>
    <t>Total Investment</t>
  </si>
  <si>
    <t xml:space="preserve">  CapEx / Renovation Budget ($)</t>
  </si>
  <si>
    <t xml:space="preserve">  Total Acquisition Cost ($)</t>
  </si>
  <si>
    <t xml:space="preserve">  Total Units</t>
  </si>
  <si>
    <t>② UNIT MIX &amp; RENT SCHEDULE  (beds/baths drive comp lookup — edit to update)</t>
  </si>
  <si>
    <t>Unit Type</t>
  </si>
  <si>
    <t>Beds</t>
  </si>
  <si>
    <t>Baths</t>
  </si>
  <si>
    <t>Count</t>
  </si>
  <si>
    <t>Avg Rent/Mo ($)</t>
  </si>
  <si>
    <t>Avg SF</t>
  </si>
  <si>
    <t>Total SF</t>
  </si>
  <si>
    <t>Total Ann. Rent ($)</t>
  </si>
  <si>
    <t>0BR/1BA</t>
  </si>
  <si>
    <t>1BR/1BA</t>
  </si>
  <si>
    <t>2BR/2BA</t>
  </si>
  <si>
    <t xml:space="preserve">  TOTALS</t>
  </si>
  <si>
    <t xml:space="preserve">  Gross Potential Rent / Yr ($)</t>
  </si>
  <si>
    <t>③ REVENUE ASSUMPTIONS</t>
  </si>
  <si>
    <t xml:space="preserve">  Vacancy &amp; Credit Loss (%)</t>
  </si>
  <si>
    <t xml:space="preserve">  Other Income / Unit / Month ($)</t>
  </si>
  <si>
    <t>④ OPERATING EXPENSES</t>
  </si>
  <si>
    <t xml:space="preserve">  OpEx Ratio (% of EGI)</t>
  </si>
  <si>
    <t xml:space="preserve">  OpEx Growth Rate (%)</t>
  </si>
  <si>
    <t>⑤ DEBT ASSUMPTIONS</t>
  </si>
  <si>
    <t xml:space="preserve">  Loan Type</t>
  </si>
  <si>
    <t>Agency/Perm</t>
  </si>
  <si>
    <t xml:space="preserve">  LTV (%)</t>
  </si>
  <si>
    <t xml:space="preserve">  Loan Amount ($)</t>
  </si>
  <si>
    <t xml:space="preserve">  Interest Rate (%)</t>
  </si>
  <si>
    <t xml:space="preserve">  IO Period (Months)</t>
  </si>
  <si>
    <t xml:space="preserve">  Amortization (Years)</t>
  </si>
  <si>
    <t xml:space="preserve">  Loan Term (Years)</t>
  </si>
  <si>
    <t xml:space="preserve">  Origination Fee (%)</t>
  </si>
  <si>
    <t xml:space="preserve">  Origination Fee ($)</t>
  </si>
  <si>
    <t>⑥ HOLD PERIOD &amp; EXIT</t>
  </si>
  <si>
    <t xml:space="preserve">  Hold Period (Years)</t>
  </si>
  <si>
    <t xml:space="preserve">  Exit Cap Rate (%)</t>
  </si>
  <si>
    <t xml:space="preserve">  Selling Costs (%)</t>
  </si>
  <si>
    <t>⑦ GP / LP STRUCTURE</t>
  </si>
  <si>
    <t xml:space="preserve">  GP Co-Invest (%)</t>
  </si>
  <si>
    <t xml:space="preserve">  LP Preferred Return (%)</t>
  </si>
  <si>
    <t xml:space="preserve">  GP Promote Above Pref (%)</t>
  </si>
  <si>
    <t>⑧ RENT GROWTH BY YEAR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</si>
  <si>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</si>
  <si>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</si>
  <si>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</si>
  <si>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</si>
  <si>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</si>
  <si>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</si>
  <si>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</si>
  <si>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</si>
  <si>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</si>
  <si>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</si>
  <si>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 xml:space="preserve">  Growth Rate</t>
  </si>
  <si>
    <t>⑨ EQUITY SUMMARY</t>
  </si>
  <si>
    <t xml:space="preserve">  Total Equity Required ($)</t>
  </si>
  <si>
    <t xml:space="preserve">    GP Equity ($)</t>
  </si>
  <si>
    <t xml:space="preserve">    LP Equity ($)</t>
  </si>
  <si>
    <t>ANNUAL PRO FORMA CASH FLOW (Year 0–10)</t>
  </si>
  <si>
    <t>Assumptions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</si>
  <si>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</si>
  <si>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</si>
  <si>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</si>
  <si>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</si>
  <si>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</si>
  <si>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</si>
  <si>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</si>
  <si>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</si>
  <si>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</si>
  <si>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</si>
  <si>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</si>
  <si>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REVENUE</t>
  </si>
  <si>
    <t xml:space="preserve">  Gross Potential Rent</t>
  </si>
  <si>
    <t xml:space="preserve">  Rent Growth Rate</t>
  </si>
  <si>
    <t xml:space="preserve">  Other Income</t>
  </si>
  <si>
    <t>Effective Gross Income (EGI)</t>
  </si>
  <si>
    <t xml:space="preserve">  Less: Vacancy &amp; Credit Loss</t>
  </si>
  <si>
    <t>Net Effective Income</t>
  </si>
  <si>
    <t>OPERATING EXPENSES</t>
  </si>
  <si>
    <t xml:space="preserve">  Operating Expenses</t>
  </si>
  <si>
    <t>Total Operating Expenses</t>
  </si>
  <si>
    <t>NET OPERATING INCOME (NOI)</t>
  </si>
  <si>
    <t>DEBT SERVICE</t>
  </si>
  <si>
    <t xml:space="preserve">  Interest Expense</t>
  </si>
  <si>
    <t xml:space="preserve">  Principal Payment</t>
  </si>
  <si>
    <t>Total Debt Service</t>
  </si>
  <si>
    <t>CASH FLOW BEFORE TAX</t>
  </si>
  <si>
    <t>Cumulative Cash Flow</t>
  </si>
  <si>
    <t>KEY METRICS</t>
  </si>
  <si>
    <t xml:space="preserve">  DSCR</t>
  </si>
  <si>
    <t xml:space="preserve">  Cash-on-Cash Return</t>
  </si>
  <si>
    <t xml:space="preserve">  Cap Rate (on Purchase)</t>
  </si>
  <si>
    <t xml:space="preserve">  OpEx Ratio</t>
  </si>
  <si>
    <t>All inputs sourced from Assumptions tab — edit blue cells there to update the model.</t>
  </si>
  <si>
    <t>RETURNS ANALYSIS</t>
  </si>
  <si>
    <t>EXIT ANALYSIS</t>
  </si>
  <si>
    <t xml:space="preserve">  Exit Year NOI ($)</t>
  </si>
  <si>
    <t xml:space="preserve">  Gross Sale Price ($)</t>
  </si>
  <si>
    <t xml:space="preserve">  Less: Selling Costs ($)</t>
  </si>
  <si>
    <t xml:space="preserve">  Net Sale Proceeds ($)</t>
  </si>
  <si>
    <t xml:space="preserve">  Less: Loan Payoff ($)</t>
  </si>
  <si>
    <t xml:space="preserve">  Net Equity Proceeds ($)</t>
  </si>
  <si>
    <t xml:space="preserve">  Total Equity Invested ($)</t>
  </si>
  <si>
    <t>LEVERED IRR CALCULATION</t>
  </si>
  <si>
    <t xml:space="preserve">  Levered Cash Flows ($)</t>
  </si>
  <si>
    <t xml:space="preserve">  CFBT from Pro Forma (ref)</t>
  </si>
  <si>
    <t xml:space="preserve">  Levered IRR</t>
  </si>
  <si>
    <t xml:space="preserve">  Equity Multiple (MOIC)</t>
  </si>
  <si>
    <t xml:space="preserve">  Avg Cash-on-Cash Yield</t>
  </si>
  <si>
    <t xml:space="preserve">  Total Profit ($)</t>
  </si>
  <si>
    <t>UNLEVERED IRR CALCULATION</t>
  </si>
  <si>
    <t xml:space="preserve">  Unlevered Cash Flows ($)</t>
  </si>
  <si>
    <t xml:space="preserve">  Annual NOI from Pro Forma (ref)</t>
  </si>
  <si>
    <t xml:space="preserve">  Unlevered IRR</t>
  </si>
  <si>
    <t xml:space="preserve">  Unlevered Equity Multiple (x)</t>
  </si>
  <si>
    <t xml:space="preserve">  Total Unlevered Cost ($)</t>
  </si>
  <si>
    <t>GP / LP DISTRIBUTION WATERFALL</t>
  </si>
  <si>
    <t xml:space="preserve">  Total Distributions ($)</t>
  </si>
  <si>
    <t xml:space="preserve">  LP Pref Return ($)</t>
  </si>
  <si>
    <t xml:space="preserve">  Profit Above Pref ($)</t>
  </si>
  <si>
    <t xml:space="preserve">  GP Promote ($)</t>
  </si>
  <si>
    <t xml:space="preserve">  GP Total ($)</t>
  </si>
  <si>
    <t xml:space="preserve">  LP Total ($)</t>
  </si>
  <si>
    <t xml:space="preserve">  LP MOIC</t>
  </si>
  <si>
    <t>⚠ Returns data has been consolidated onto the Pro Forma sheet. This sheet is kept for historical reference only.</t>
  </si>
  <si>
    <t>EXIT &amp; RETURNS ANALYSIS</t>
  </si>
  <si>
    <t>All inputs auto-populated from Assumptions tab  |  Edit blue cells on Assumptions to update this model</t>
  </si>
  <si>
    <t>Year</t>
  </si>
  <si>
    <t xml:space="preserve">  Total Profit</t>
  </si>
  <si>
    <t xml:space="preserve">  CASH-ON-CASH RETURN &amp; EQUITY MULTIPLE DECOMPOSITION</t>
  </si>
  <si>
    <t xml:space="preserve">  Year</t>
  </si>
  <si>
    <t>Avg / Total</t>
  </si>
  <si>
    <t xml:space="preserve">  Cash-on-Cash Yield (%)</t>
  </si>
  <si>
    <t>n/a</t>
  </si>
  <si>
    <t xml:space="preserve">  NOI ($)</t>
  </si>
  <si>
    <t xml:space="preserve">  NOI Yield on Cost (%)</t>
  </si>
  <si>
    <t xml:space="preserve">  Cumulative Equity Multiple</t>
  </si>
  <si>
    <t>—</t>
  </si>
  <si>
    <t xml:space="preserve">  % of Return from Exit Proceeds</t>
  </si>
  <si>
    <t xml:space="preserve">  Total Distributions (CF + Exit)</t>
  </si>
  <si>
    <t xml:space="preserve">  LP Pref Return (cumulative, simple)</t>
  </si>
  <si>
    <t>← Simple pref on total equity (see note)</t>
  </si>
  <si>
    <t xml:space="preserve">  Profit Above Pref</t>
  </si>
  <si>
    <t xml:space="preserve">  GP Promote (20% of profit above pref)</t>
  </si>
  <si>
    <t>← No catch-up tier (see note)</t>
  </si>
  <si>
    <t xml:space="preserve">  GP Total (Co-Invest ROC + Promote)</t>
  </si>
  <si>
    <t>← Excl. GP pro-rata operating CFs (see note)</t>
  </si>
  <si>
    <t xml:space="preserve">  LP Total (Distributions - GP)</t>
  </si>
  <si>
    <t xml:space="preserve">  LP MOIC (LP Total / LP Equity)</t>
  </si>
  <si>
    <t>PRICING SCENARIOS — CAP RATE-BASED ACQUISITION ANALYSIS</t>
  </si>
  <si>
    <t>SENSITIVITY: LEVERED IRR  —  Entry Cap Rate (rows) × Exit Cap Rate (columns)</t>
  </si>
  <si>
    <t>Entry Cap \ Exit Cap</t>
  </si>
  <si>
    <t>Total Cost ($)</t>
  </si>
  <si>
    <t>6.0% ★</t>
  </si>
  <si>
    <t>Purchase Price</t>
  </si>
  <si>
    <t>Closing Costs</t>
  </si>
  <si>
    <t>Total Cost</t>
  </si>
  <si>
    <t>IRR: 🟢 ≥10%  🟡 8–10%  🔴 &lt;8%     MOIC: 🟢 ≥1.5x  🟡 1.2–1.5x  🔴 &lt;1.2x     ★ = Base exit cap (6.0%)</t>
  </si>
  <si>
    <t>SENSITIVITY: MOIC (Equity Multiple)  —  Entry Cap Rate (rows) × Exit Cap Rate (columns)</t>
  </si>
  <si>
    <t>Implied Price</t>
  </si>
  <si>
    <t>Loan</t>
  </si>
  <si>
    <t>Yr1 DS</t>
  </si>
  <si>
    <t>RAW RENT COMPS — COMPARABLE LISTINGS</t>
  </si>
  <si>
    <t>Populated automatically on import. Cols I/J/K/L (★) drive Rent Assumptions AVERAGEIFS — do not reorder.</t>
  </si>
  <si>
    <t>#</t>
  </si>
  <si>
    <t>Improvements</t>
  </si>
  <si>
    <t>Rank</t>
  </si>
  <si>
    <t>Dist (m)</t>
  </si>
  <si>
    <t>Dist (km)</t>
  </si>
  <si>
    <t>Rent / Mo ★</t>
  </si>
  <si>
    <t>Beds ★</t>
  </si>
  <si>
    <t>Baths ★</t>
  </si>
  <si>
    <t>Sq Ft ★</t>
  </si>
  <si>
    <t>Bedrooms</t>
  </si>
  <si>
    <t>Bathrooms</t>
  </si>
  <si>
    <t>Address</t>
  </si>
  <si>
    <t>Property Type</t>
  </si>
  <si>
    <t>Status</t>
  </si>
  <si>
    <t>DOM</t>
  </si>
  <si>
    <t>Latitude</t>
  </si>
  <si>
    <t>Longitude</t>
  </si>
  <si>
    <t>URL</t>
  </si>
  <si>
    <t>Listing ID</t>
  </si>
  <si>
    <t>2400000</t>
  </si>
  <si>
    <t>250000</t>
  </si>
  <si>
    <t>Studio</t>
  </si>
  <si>
    <t>1808 W 35th St, Apt 15, Austin, TX 78703</t>
  </si>
  <si>
    <t>Apartment</t>
  </si>
  <si>
    <t>Active</t>
  </si>
  <si>
    <t>1808-W-35th-St,-Apt-15,-Austin,-TX-78703</t>
  </si>
  <si>
    <t>305 W 35th St, Apt 113, Austin, TX 78705</t>
  </si>
  <si>
    <t>Condo</t>
  </si>
  <si>
    <t>305-W-35th-St,-Apt-113,-Austin,-TX-78705</t>
  </si>
  <si>
    <t>2704 San Pedro St, Austin, TX 78705</t>
  </si>
  <si>
    <t>2704-San-Pedro-St,-Austin,-TX-78705</t>
  </si>
  <si>
    <t>210 W 38th St, Apt 5, Austin, TX 78705</t>
  </si>
  <si>
    <t>210-W-38th-St,-Apt-5,-Austin,-TX-78705</t>
  </si>
  <si>
    <t>2505 San Gabriel St, Apt 102, Austin, TX 78705</t>
  </si>
  <si>
    <t>2505-San-Gabriel-St,-Apt-102,-Austin,-TX-78705</t>
  </si>
  <si>
    <t>709 W 26th St, Apt 15, Austin, TX 78705</t>
  </si>
  <si>
    <t>709-W-26th-St,-Apt-15,-Austin,-TX-78705</t>
  </si>
  <si>
    <t>202 E 32nd St, Apt 3, Austin, TX 78705</t>
  </si>
  <si>
    <t>202-E-32nd-St,-Apt-3,-Austin,-TX-78705</t>
  </si>
  <si>
    <t>2529 Rio Grande St, Apt 61, Austin, TX 78705</t>
  </si>
  <si>
    <t>2529-Rio-Grande-St,-Apt-61,-Austin,-TX-78705</t>
  </si>
  <si>
    <t>2302 Leon St, Apt 1, Austin, TX 78705</t>
  </si>
  <si>
    <t>2302-Leon-St,-Apt-1,-Austin,-TX-78705</t>
  </si>
  <si>
    <t>2302 Leon St, Apt 6, Austin, TX 78705</t>
  </si>
  <si>
    <t>Single Family</t>
  </si>
  <si>
    <t>2302-Leon-St,-Apt-6,-Austin,-TX-78705</t>
  </si>
  <si>
    <t>2302 Leon St, Apt 3, Austin, TX 78705</t>
  </si>
  <si>
    <t>2302-Leon-St,-Apt-3,-Austin,-TX-78705</t>
  </si>
  <si>
    <t>2302 Leon St, Apt 4, Austin, TX 78705</t>
  </si>
  <si>
    <t>2302-Leon-St,-Apt-4,-Austin,-TX-78705</t>
  </si>
  <si>
    <t>2302 Leon St, Apt 7, Austin, TX 78705</t>
  </si>
  <si>
    <t>2302-Leon-St,-Apt-7,-Austin,-TX-78705</t>
  </si>
  <si>
    <t>2302 Leon St, Apt 9, Austin, TX 78705</t>
  </si>
  <si>
    <t>2302-Leon-St,-Apt-9,-Austin,-TX-78705</t>
  </si>
  <si>
    <t>2302 Leon St, Apt 12, Austin, TX 78705</t>
  </si>
  <si>
    <t>2302-Leon-St,-Apt-12,-Austin,-TX-78705</t>
  </si>
  <si>
    <t>2302 Leon St, Apt 10, Austin, TX 78705</t>
  </si>
  <si>
    <t>2302-Leon-St,-Apt-10,-Austin,-TX-78705</t>
  </si>
  <si>
    <t>2302 Leon St, Apt 2, Austin, TX 78705</t>
  </si>
  <si>
    <t>2302-Leon-St,-Apt-2,-Austin,-TX-78705</t>
  </si>
  <si>
    <t>2302 Leon St, Apt 13, Austin, TX 78705</t>
  </si>
  <si>
    <t>2302-Leon-St,-Apt-13,-Austin,-TX-78705</t>
  </si>
  <si>
    <t>915 W 21st St, Apt 11, Austin, TX 78705</t>
  </si>
  <si>
    <t>915-W-21st-St,-Apt-11,-Austin,-TX-78705</t>
  </si>
  <si>
    <t>915 W 21st St, Apt 6, Austin, TX 78705</t>
  </si>
  <si>
    <t>915-W-21st-St,-Apt-6,-Austin,-TX-78705</t>
  </si>
  <si>
    <t>915 W 21st St, Apt 3, Austin, TX 78705</t>
  </si>
  <si>
    <t>915-W-21st-St,-Apt-3,-Austin,-TX-78705</t>
  </si>
  <si>
    <t>915 W 21st St, Apt 4, Austin, TX 78705</t>
  </si>
  <si>
    <t>915-W-21st-St,-Apt-4,-Austin,-TX-78705</t>
  </si>
  <si>
    <t>915 W 21st St, Apt 7, Austin, TX 78705</t>
  </si>
  <si>
    <t>915-W-21st-St,-Apt-7,-Austin,-TX-78705</t>
  </si>
  <si>
    <t>915 W 21st St, Apt 12, Austin, TX 78705</t>
  </si>
  <si>
    <t>915-W-21st-St,-Apt-12,-Austin,-TX-78705</t>
  </si>
  <si>
    <t>915 W 21st St, Apt 9, Austin, TX 78705</t>
  </si>
  <si>
    <t>915-W-21st-St,-Apt-9,-Austin,-TX-78705</t>
  </si>
  <si>
    <t>915 W 21st St, Apt 8, Austin, TX 78705</t>
  </si>
  <si>
    <t>915-W-21st-St,-Apt-8,-Austin,-TX-78705</t>
  </si>
  <si>
    <t>710 E Dean Keeton St, Apt 203, Austin, TX 78705</t>
  </si>
  <si>
    <t>710-E-Dean-Keeton-St,-Apt-203,-Austin,-TX-78705</t>
  </si>
  <si>
    <t>710 E Dean Keeton St, Apt 206, Austin, TX 78705</t>
  </si>
  <si>
    <t>710-E-Dean-Keeton-St,-Apt-206,-Austin,-TX-78705</t>
  </si>
  <si>
    <t>1629 Waterston Ave, Austin, TX 78703</t>
  </si>
  <si>
    <t>1629-Waterston-Ave,-Austin,-TX-78703</t>
  </si>
  <si>
    <t>901E 40th St, Austin, TX 78753</t>
  </si>
  <si>
    <t>901E-40th-St,-Austin,-TX-78753</t>
  </si>
  <si>
    <t>2604 Manor Rd, # 4-108, Austin, TX 78722</t>
  </si>
  <si>
    <t>2604-Manor-Rd,---4-108,-Austin,-TX-78722</t>
  </si>
  <si>
    <t>2604 Manor Rd, # 9-204, Austin, TX 78722</t>
  </si>
  <si>
    <t>2604-Manor-Rd,---9-204,-Austin,-TX-78722</t>
  </si>
  <si>
    <t>2604 Manor Rd, Apt 108, Austin, TX 78722</t>
  </si>
  <si>
    <t>2604-Manor-Rd,-Apt-108,-Austin,-TX-78722</t>
  </si>
  <si>
    <t>2604 Manor Rd, # 9-202, Austin, TX 78722</t>
  </si>
  <si>
    <t>2604-Manor-Rd,---9-202,-Austin,-TX-78722</t>
  </si>
  <si>
    <t>2604 Manor Rd, # 9-106, Austin, TX 78722</t>
  </si>
  <si>
    <t>2604-Manor-Rd,---9-106,-Austin,-TX-78722</t>
  </si>
  <si>
    <t>2604 Manor Rd, # 4-201, Austin, TX 78722</t>
  </si>
  <si>
    <t>2604-Manor-Rd,---4-201,-Austin,-TX-78722</t>
  </si>
  <si>
    <t>2604 Manor Rd, Apt 102, Austin, TX 78722</t>
  </si>
  <si>
    <t>2604-Manor-Rd,-Apt-102,-Austin,-TX-78722</t>
  </si>
  <si>
    <t>2604 Manor Rd, # 4-107, Austin, TX 78722</t>
  </si>
  <si>
    <t>2604-Manor-Rd,---4-107,-Austin,-TX-78722</t>
  </si>
  <si>
    <t>2604 Manor Rd, # 6-216, Austin, TX 78722</t>
  </si>
  <si>
    <t>2604-Manor-Rd,---6-216,-Austin,-TX-78722</t>
  </si>
  <si>
    <t>2604 Manor Rd, # 4-317, Austin, TX 78722</t>
  </si>
  <si>
    <t>2604-Manor-Rd,---4-317,-Austin,-TX-78722</t>
  </si>
  <si>
    <t>901 Springdale Rd, Apt 106, Austin, TX 78702</t>
  </si>
  <si>
    <t>901-Springdale-Rd,-Apt-106,-Austin,-TX-78702</t>
  </si>
  <si>
    <t>2101 Elmont Dr, # 05-313, Austin, TX 78741</t>
  </si>
  <si>
    <t>2101-Elmont-Dr,---05-313,-Austin,-TX-78741</t>
  </si>
  <si>
    <t>2101 Elmont Dr, # 05-109, Austin, TX 78741</t>
  </si>
  <si>
    <t>2101-Elmont-Dr,---05-109,-Austin,-TX-78741</t>
  </si>
  <si>
    <t>2101 Elmont Dr, # 04-101, Austin, TX 78741</t>
  </si>
  <si>
    <t>2101-Elmont-Dr,---04-101,-Austin,-TX-78741</t>
  </si>
  <si>
    <t>2101 Elmont Dr, # 01-229, Austin, TX 78741</t>
  </si>
  <si>
    <t>2101-Elmont-Dr,---01-229,-Austin,-TX-78741</t>
  </si>
  <si>
    <t>2425 Elmont Dr, # 05-313, Austin, TX 78741</t>
  </si>
  <si>
    <t>2425-Elmont-Dr,---05-313,-Austin,-TX-78741</t>
  </si>
  <si>
    <t>2425 Elmont Dr, # 05-314, Austin, TX 78741</t>
  </si>
  <si>
    <t>2425-Elmont-Dr,---05-314,-Austin,-TX-78741</t>
  </si>
  <si>
    <t>2425 Elmont Dr, # 04-101, Austin, TX 78741</t>
  </si>
  <si>
    <t>2425-Elmont-Dr,---04-101,-Austin,-TX-78741</t>
  </si>
  <si>
    <t>1706 Dungan Ln, Ste A101, Austin, TX 78754</t>
  </si>
  <si>
    <t>1706-Dungan-Ln,-Ste-A101,-Austin,-TX-78754</t>
  </si>
  <si>
    <t>2606 Ektom Dr, Austin, TX 78745</t>
  </si>
  <si>
    <t>2606-Ektom-Dr,-Austin,-TX-78745</t>
  </si>
  <si>
    <t>Single</t>
  </si>
  <si>
    <t>301 W 29th St, Apt 201, Austin, TX 78705</t>
  </si>
  <si>
    <t>301-W-29th-St,-Apt-201,-Austin,-TX-78705</t>
  </si>
  <si>
    <t>301 W 29th St, Apt 102, Austin, TX 78705</t>
  </si>
  <si>
    <t>301-W-29th-St,-Apt-102,-Austin,-TX-78705</t>
  </si>
  <si>
    <t>2803 Hemphill Park, Unit B101, Austin, TX 78705</t>
  </si>
  <si>
    <t>2803-Hemphill-Park,-Unit-B101,-Austin,-TX-78705</t>
  </si>
  <si>
    <t>2803 Hemphill Park, Apt 209, Austin, TX 78705</t>
  </si>
  <si>
    <t>2803-Hemphill-Park,-Apt-209,-Austin,-TX-78705</t>
  </si>
  <si>
    <t>2808 Whitis Ave, Apt 206, Austin, TX 78705</t>
  </si>
  <si>
    <t>2808-Whitis-Ave,-Apt-206,-Austin,-TX-78705</t>
  </si>
  <si>
    <t>2801 Hemphill Park, Unit A202, Austin, TX 78705</t>
  </si>
  <si>
    <t>2801-Hemphill-Park,-Unit-A202,-Austin,-TX-78705</t>
  </si>
  <si>
    <t>2801 Hemphill Park, Unit A204, Austin, TX 78705</t>
  </si>
  <si>
    <t>2801-Hemphill-Park,-Unit-A204,-Austin,-TX-78705</t>
  </si>
  <si>
    <t>3812 Speedway, Apt 205, Austin, TX 78751</t>
  </si>
  <si>
    <t>3812-Speedway,-Apt-205,-Austin,-TX-78751</t>
  </si>
  <si>
    <t>712 Graham Pl, Apt 101, Austin, TX 78705</t>
  </si>
  <si>
    <t>712-Graham-Pl,-Apt-101,-Austin,-TX-78705</t>
  </si>
  <si>
    <t>110 E 30th St, Apt A, Austin, TX 78705</t>
  </si>
  <si>
    <t>Multi-Family</t>
  </si>
  <si>
    <t>110-E-30th-St,-Apt-A,-Austin,-TX-78705</t>
  </si>
  <si>
    <t>2207 Leon St, Apt 107, Austin, TX 78705</t>
  </si>
  <si>
    <t>2207-Leon-St,-Apt-107,-Austin,-TX-78705</t>
  </si>
  <si>
    <t>3304 Tom Green St, Apt C, Austin, TX 78705</t>
  </si>
  <si>
    <t>3304-Tom-Green-St,-Apt-C,-Austin,-TX-78705</t>
  </si>
  <si>
    <t>1011 W 23rd St, Apt 204, Austin, TX 78705</t>
  </si>
  <si>
    <t>1011-W-23rd-St,-Apt-204,-Austin,-TX-78705</t>
  </si>
  <si>
    <t>2217 San Gabriel St, Apt 201, Austin, TX 78705</t>
  </si>
  <si>
    <t>2217-San-Gabriel-St,-Apt-201,-Austin,-TX-78705</t>
  </si>
  <si>
    <t>1106 W 22nd St, Apt 7, Austin, TX 78705</t>
  </si>
  <si>
    <t>1106-W-22nd-St,-Apt-7,-Austin,-TX-78705</t>
  </si>
  <si>
    <t>6324 N Lamar Blvd, Apt 421, Austin, TX 78752</t>
  </si>
  <si>
    <t>6324-N-Lamar-Blvd,-Apt-421,-Austin,-TX-78752</t>
  </si>
  <si>
    <t>300 Bowie St, Unit ID1485, Austin, TX 78703</t>
  </si>
  <si>
    <t>300-Bowie-St,-Unit-ID1485,-Austin,-TX-78703</t>
  </si>
  <si>
    <t>800 Brazos St, Unit ID6201, Austin, TX 78701</t>
  </si>
  <si>
    <t>800-Brazos-St,-Unit-ID6201,-Austin,-TX-78701</t>
  </si>
  <si>
    <t>2604 Manor Rd, # 304, Austin, TX 78722</t>
  </si>
  <si>
    <t>2604-Manor-Rd,---304,-Austin,-TX-78722</t>
  </si>
  <si>
    <t>300 W 3rd St, Unit ID6291, Austin, TX 78701</t>
  </si>
  <si>
    <t>300-W-3rd-St,-Unit-ID6291,-Austin,-TX-78701</t>
  </si>
  <si>
    <t>6007 N Ih 35, Apt 235, Austin, TX 78723</t>
  </si>
  <si>
    <t>6007-N-Ih-35,-Apt-235,-Austin,-TX-78723</t>
  </si>
  <si>
    <t>810 E 9th St, Unit ID2721, Austin, TX 78702</t>
  </si>
  <si>
    <t>810-E-9th-St,-Unit-ID2721,-Austin,-TX-78702</t>
  </si>
  <si>
    <t>1904 E 13th St, Unit B, Austin, TX 78702</t>
  </si>
  <si>
    <t>1904-E-13th-St,-Unit-B,-Austin,-TX-78702</t>
  </si>
  <si>
    <t>200 Congress Ave, Unit ID1647, Austin, TX 78701</t>
  </si>
  <si>
    <t>200-Congress-Ave,-Unit-ID1647,-Austin,-TX-78701</t>
  </si>
  <si>
    <t>1610 E 6th St, Unit ID9005, Austin, TX 78702</t>
  </si>
  <si>
    <t>1610-E-6th-St,-Unit-ID9005,-Austin,-TX-78702</t>
  </si>
  <si>
    <t>3500 Greystone Dr, Apt 269, Austin, TX 78731</t>
  </si>
  <si>
    <t>3500-Greystone-Dr,-Apt-269,-Austin,-TX-78731</t>
  </si>
  <si>
    <t>54 Rainey St, Unit ID4409, Austin, TX 78701</t>
  </si>
  <si>
    <t>54-Rainey-St,-Unit-ID4409,-Austin,-TX-78701</t>
  </si>
  <si>
    <t>1300 Spyglass Dr, # 24-242, Austin, TX 78746</t>
  </si>
  <si>
    <t>1300-Spyglass-Dr,---24-242,-Austin,-TX-78746</t>
  </si>
  <si>
    <t>3605 Steck Ave, Apt 1119, Austin, TX 78759</t>
  </si>
  <si>
    <t>3605-Steck-Ave,-Apt-1119,-Austin,-TX-78759</t>
  </si>
  <si>
    <t>7111 E Hwy, 290 Apt C, Austin, TX 78723</t>
  </si>
  <si>
    <t>7111-E-Hwy,-290-Apt-C,-Austin,-TX-78723</t>
  </si>
  <si>
    <t>2610 E 3rd St, Unit B, Austin, TX 78702</t>
  </si>
  <si>
    <t>2610-E-3rd-St,-Unit-B,-Austin,-TX-78702</t>
  </si>
  <si>
    <t>7111 E Hwy, 290 Apt D, Austin, TX 78723</t>
  </si>
  <si>
    <t>7111-E-Hwy,-290-Apt-D,-Austin,-TX-78723</t>
  </si>
  <si>
    <t>2801 Dulce Ln, Unit 6ID7225, Austin, TX 78704</t>
  </si>
  <si>
    <t>2801-Dulce-Ln,-Unit-6ID7225,-Austin,-TX-78704</t>
  </si>
  <si>
    <t>2800 Treble Ln, Unit ID1045, Austin, TX 78704</t>
  </si>
  <si>
    <t>2800-Treble-Ln,-Unit-ID1045,-Austin,-TX-78704</t>
  </si>
  <si>
    <t>2101 Elmont Dr, # 06-211, Austin, TX 78741</t>
  </si>
  <si>
    <t>2101-Elmont-Dr,---06-211,-Austin,-TX-78741</t>
  </si>
  <si>
    <t>3018 S 1st St, Unit ID2001, Austin, TX 78704</t>
  </si>
  <si>
    <t>3018-S-1st-St,-Unit-ID2001,-Austin,-TX-78704</t>
  </si>
  <si>
    <t>2336 Douglas St, Apt 207, Austin, TX 78741</t>
  </si>
  <si>
    <t>2336-Douglas-St,-Apt-207,-Austin,-TX-78741</t>
  </si>
  <si>
    <t>2336 Douglas St, Apt 1524, Austin, TX 78741</t>
  </si>
  <si>
    <t>2336-Douglas-St,-Apt-1524,-Austin,-TX-78741</t>
  </si>
  <si>
    <t>2336 Douglas St, Apt 214, Austin, TX 78741</t>
  </si>
  <si>
    <t>2336-Douglas-St,-Apt-214,-Austin,-TX-78741</t>
  </si>
  <si>
    <t>1901 Crossing Pl, Apt 2302, Austin, TX 78741</t>
  </si>
  <si>
    <t>1901-Crossing-Pl,-Apt-2302,-Austin,-TX-78741</t>
  </si>
  <si>
    <t>2504 Huntwick Dr, Unit 10, Austin, TX 78741</t>
  </si>
  <si>
    <t>2504-Huntwick-Dr,-Unit-10,-Austin,-TX-78741</t>
  </si>
  <si>
    <t>2450 Wickersham Ln, Apt 1303, Austin, TX 78741</t>
  </si>
  <si>
    <t>2450-Wickersham-Ln,-Apt-1303,-Austin,-TX-78741</t>
  </si>
  <si>
    <t>4704 Sunset Trl, Unit ID4901, Austin, TX 78745</t>
  </si>
  <si>
    <t>4704-Sunset-Trl,-Unit-ID4901,-Austin,-TX-78745</t>
  </si>
  <si>
    <t>2102 Yellow Jacket Ln, Unit 2102, Austin, TX 78741</t>
  </si>
  <si>
    <t>2102-Yellow-Jacket-Ln,-Unit-2102,-Austin,-TX-78741</t>
  </si>
  <si>
    <t>3800 Allegro Lugar St, Unit 4, Austin, TX 78749</t>
  </si>
  <si>
    <t>3800-Allegro-Lugar-St,-Unit-4,-Austin,-TX-78749</t>
  </si>
  <si>
    <t>3800 Allegro Lugar St, Unit 3, Austin, TX 78749</t>
  </si>
  <si>
    <t>3800-Allegro-Lugar-St,-Unit-3,-Austin,-TX-78749</t>
  </si>
  <si>
    <t>604 N Bluff Dr, Unit 6ID1075, Austin, TX 78745</t>
  </si>
  <si>
    <t>604-N-Bluff-Dr,-Unit-6ID1075,-Austin,-TX-78745</t>
  </si>
  <si>
    <t>12041 Dessau Rd, Apt 2405, Austin, TX 78754</t>
  </si>
  <si>
    <t>12041-Dessau-Rd,-Apt-2405,-Austin,-TX-78754</t>
  </si>
  <si>
    <t>12041 Dessau Rd, Apt 2410, Austin, TX 78754</t>
  </si>
  <si>
    <t>12041-Dessau-Rd,-Apt-2410,-Austin,-TX-78754</t>
  </si>
  <si>
    <t>4509 Southwest Dr, Austin, TX 78744</t>
  </si>
  <si>
    <t>4509-Southwest-Dr,-Austin,-TX-78744</t>
  </si>
  <si>
    <t>Duplex</t>
  </si>
  <si>
    <t>914 W 26th St, Apt 203, Austin, TX 78705</t>
  </si>
  <si>
    <t>914-W-26th-St,-Apt-203,-Austin,-TX-78705</t>
  </si>
  <si>
    <t>914 W 26th St, Apt 102, Austin, TX 78705</t>
  </si>
  <si>
    <t>914-W-26th-St,-Apt-102,-Austin,-TX-78705</t>
  </si>
  <si>
    <t>2505 San Gabriel St, Apt 501, Austin, TX 78705</t>
  </si>
  <si>
    <t>2505-San-Gabriel-St,-Apt-501,-Austin,-TX-78705</t>
  </si>
  <si>
    <t>2505 San Gabriel St, Apt 201, Austin, TX 78705</t>
  </si>
  <si>
    <t>2505-San-Gabriel-St,-Apt-201,-Austin,-TX-78705</t>
  </si>
  <si>
    <t>711 W 26th St, Apt 305, Austin, TX 78705</t>
  </si>
  <si>
    <t>711-W-26th-St,-Apt-305,-Austin,-TX-78705</t>
  </si>
  <si>
    <t>711 W 26th St, Apt 403, Austin, TX 78705</t>
  </si>
  <si>
    <t>711-W-26th-St,-Apt-403,-Austin,-TX-78705</t>
  </si>
  <si>
    <t>501 W 26th St, Apt 214, Austin, TX 78705</t>
  </si>
  <si>
    <t>501-W-26th-St,-Apt-214,-Austin,-TX-78705</t>
  </si>
  <si>
    <t>3000 Duval St, Apt 106, Austin, TX 78705</t>
  </si>
  <si>
    <t>3000-Duval-St,-Apt-106,-Austin,-TX-78705</t>
  </si>
  <si>
    <t>3000 Duval St, Apt 205, Austin, TX 78705</t>
  </si>
  <si>
    <t>3000-Duval-St,-Apt-205,-Austin,-TX-78705</t>
  </si>
  <si>
    <t>3000 Duval St, Apt 305, Austin, TX 78705</t>
  </si>
  <si>
    <t>3000-Duval-St,-Apt-305,-Austin,-TX-78705</t>
  </si>
  <si>
    <t>3000 Duval St, Apt 105, Austin, TX 78705</t>
  </si>
  <si>
    <t>3000-Duval-St,-Apt-105,-Austin,-TX-78705</t>
  </si>
  <si>
    <t>3000 Duval St, Apt 103, Austin, TX 78705</t>
  </si>
  <si>
    <t>3000-Duval-St,-Apt-103,-Austin,-TX-78705</t>
  </si>
  <si>
    <t>3000 Duval St, Apt 306, Austin, TX 78705</t>
  </si>
  <si>
    <t>3000-Duval-St,-Apt-306,-Austin,-TX-78705</t>
  </si>
  <si>
    <t>706 W 22nd St, Apt 103, Austin, TX 78705</t>
  </si>
  <si>
    <t>706-W-22nd-St,-Apt-103,-Austin,-TX-78705</t>
  </si>
  <si>
    <t>2606 Enfield Rd, # 104, Austin, TX 78703</t>
  </si>
  <si>
    <t>2606-Enfield-Rd,---104,-Austin,-TX-78703</t>
  </si>
  <si>
    <t>6205 N Lamar Blvd, Austin, TX 78752</t>
  </si>
  <si>
    <t>6205-N-Lamar-Blvd,-Austin,-TX-78752</t>
  </si>
  <si>
    <t>6409 Burns St, Apt 305, Austin, TX 78752</t>
  </si>
  <si>
    <t>6409-Burns-St,-Apt-305,-Austin,-TX-78752</t>
  </si>
  <si>
    <t>300 Bowie St, Apt 1201, Austin, TX 78703</t>
  </si>
  <si>
    <t>300-Bowie-St,-Apt-1201,-Austin,-TX-78703</t>
  </si>
  <si>
    <t>300 Bowie St, Unit ID9298, Austin, TX 78703</t>
  </si>
  <si>
    <t>300-Bowie-St,-Unit-ID9298,-Austin,-TX-78703</t>
  </si>
  <si>
    <t>800 Brazos St, Unit ID5332, Austin, TX 78701</t>
  </si>
  <si>
    <t>800-Brazos-St,-Unit-ID5332,-Austin,-TX-78701</t>
  </si>
  <si>
    <t>300 W 3rd St, Unit ID9032, Austin, TX 78701</t>
  </si>
  <si>
    <t>300-W-3rd-St,-Unit-ID9032,-Austin,-TX-78701</t>
  </si>
  <si>
    <t>901 Red River St, Apt 1302, Austin, TX 78701</t>
  </si>
  <si>
    <t>901-Red-River-St,-Apt-1302,-Austin,-TX-78701</t>
  </si>
  <si>
    <t>810 E 9th St, Unit ID9222, Austin, TX 78702</t>
  </si>
  <si>
    <t>810-E-9th-St,-Unit-ID9222,-Austin,-TX-78702</t>
  </si>
  <si>
    <t>200 Congress Ave, Unit ID6602, Austin, TX 78701</t>
  </si>
  <si>
    <t>200-Congress-Ave,-Unit-ID6602,-Austin,-TX-78701</t>
  </si>
  <si>
    <t>6910 Hart Ln, Apt 909, Austin, TX 78731</t>
  </si>
  <si>
    <t>6910-Hart-Ln,-Apt-909,-Austin,-TX-78731</t>
  </si>
  <si>
    <t>1610 E 6th St, Unit ID6112, Austin, TX 78702</t>
  </si>
  <si>
    <t>1610-E-6th-St,-Unit-ID6112,-Austin,-TX-78702</t>
  </si>
  <si>
    <t>70 Rainey St, Unit ID2652, Austin, TX 78701</t>
  </si>
  <si>
    <t>70-Rainey-St,-Unit-ID2652,-Austin,-TX-78701</t>
  </si>
  <si>
    <t>54 Rainey St, Unit ID1006, Austin, TX 78701</t>
  </si>
  <si>
    <t>54-Rainey-St,-Unit-ID1006,-Austin,-TX-78701</t>
  </si>
  <si>
    <t>700 S 1st St, Apt 208, Austin, TX 78704</t>
  </si>
  <si>
    <t>700-S-1st-St,-Apt-208,-Austin,-TX-78704</t>
  </si>
  <si>
    <t>3605 Steck Ave, Apt 1125, Austin, TX 78759</t>
  </si>
  <si>
    <t>3605-Steck-Ave,-Apt-1125,-Austin,-TX-78759</t>
  </si>
  <si>
    <t>3605 Steck Ave, Apt 2078, Austin, TX 78759</t>
  </si>
  <si>
    <t>3605-Steck-Ave,-Apt-2078,-Austin,-TX-78759</t>
  </si>
  <si>
    <t>7111 E Hwy, 290 Apt A, Austin, TX 78723</t>
  </si>
  <si>
    <t>7111-E-Hwy,-290-Apt-A,-Austin,-TX-78723</t>
  </si>
  <si>
    <t>8524 Burnet Rd, Apt 437, Austin, TX 78757</t>
  </si>
  <si>
    <t>8524-Burnet-Rd,-Apt-437,-Austin,-TX-78757</t>
  </si>
  <si>
    <t>1911 Hearthstone Dr, Apt 1, Austin, TX 78757</t>
  </si>
  <si>
    <t>1911-Hearthstone-Dr,-Apt-1,-Austin,-TX-78757</t>
  </si>
  <si>
    <t>2215 Post Rd, Unit ID3042, Austin, TX 78704</t>
  </si>
  <si>
    <t>2215-Post-Rd,-Unit-ID3042,-Austin,-TX-78704</t>
  </si>
  <si>
    <t>2801 Dulce Ln, Unit 7D8114, Austin, TX 78704</t>
  </si>
  <si>
    <t>2801-Dulce-Ln,-Unit-7D8114,-Austin,-TX-78704</t>
  </si>
  <si>
    <t>2800 Treble Ln, Unit ID3372, Austin, TX 78704</t>
  </si>
  <si>
    <t>2800-Treble-Ln,-Unit-ID3372,-Austin,-TX-78704</t>
  </si>
  <si>
    <t>1616 Royal Crest Dr, Apt 24, Austin, TX 78741</t>
  </si>
  <si>
    <t>1616-Royal-Crest-Dr,-Apt-24,-Austin,-TX-78741</t>
  </si>
  <si>
    <t>3018 S 1st St, Unit ID6044, Austin, TX 78704</t>
  </si>
  <si>
    <t>3018-S-1st-St,-Unit-ID6044,-Austin,-TX-78704</t>
  </si>
  <si>
    <t>2811 Hardeman St, Unit B, Austin, TX 78704</t>
  </si>
  <si>
    <t>2811-Hardeman-St,-Unit-B,-Austin,-TX-78704</t>
  </si>
  <si>
    <t>10000 N Lamar Blvd, Apt 1056, Austin, TX 78753</t>
  </si>
  <si>
    <t>10000-N-Lamar-Blvd,-Apt-1056,-Austin,-TX-78753</t>
  </si>
  <si>
    <t>4704 Sunset Trl, Unit ID1752, Austin, TX 78745</t>
  </si>
  <si>
    <t>4704-Sunset-Trl,-Unit-ID1752,-Austin,-TX-78745</t>
  </si>
  <si>
    <t>4361 S Congress Ave, Unit 509, Austin, TX 78745</t>
  </si>
  <si>
    <t>4361-S-Congress-Ave,-Unit-509,-Austin,-TX-78745</t>
  </si>
  <si>
    <t>11603 Ladera Vista Dr, Unit 6, Austin, TX 78759</t>
  </si>
  <si>
    <t>11603-Ladera-Vista-Dr,-Unit-6,-Austin,-TX-78759</t>
  </si>
  <si>
    <t>12041 Dessau Rd, Apt 2301, Austin, TX 78754</t>
  </si>
  <si>
    <t>12041-Dessau-Rd,-Apt-2301,-Austin,-TX-78754</t>
  </si>
  <si>
    <t>12041 Dessau Rd, Apt 2801, Austin, TX 78754</t>
  </si>
  <si>
    <t>12041-Dessau-Rd,-Apt-2801,-Austin,-TX-78754</t>
  </si>
  <si>
    <t>12041 Dessau Rd, Apt 2208, Austin, TX 78754</t>
  </si>
  <si>
    <t>12041-Dessau-Rd,-Apt-2208,-Austin,-TX-78754</t>
  </si>
  <si>
    <t>5912 Hidden Valley Trl, Austin, TX 78744</t>
  </si>
  <si>
    <t>Townhouse</t>
  </si>
  <si>
    <t>5912-Hidden-Valley-Trl,-Austin,-TX-78744</t>
  </si>
  <si>
    <t>11601 Argonne Forest Trl, Unit Call, Austin, TX 78759</t>
  </si>
  <si>
    <t>11601-Argonne-Forest-Trl,-Unit-Call,-Austin,-TX-78759</t>
  </si>
  <si>
    <t>5005 E Parmer Ln, Unit 02-252, Austin, TX 78754</t>
  </si>
  <si>
    <t>5005-E-Parmer-Ln,-Unit-02-252,-Austin,-TX-78754</t>
  </si>
  <si>
    <t>DEBT AMORTIZATION SCHEDULE</t>
  </si>
  <si>
    <t>KEY INPUTS</t>
  </si>
  <si>
    <t>Loan Amount ($)</t>
  </si>
  <si>
    <t>Annual Interest Rate</t>
  </si>
  <si>
    <t>IO Period (Months)</t>
  </si>
  <si>
    <t>Amortization (Years)</t>
  </si>
  <si>
    <t>Monthly Rate</t>
  </si>
  <si>
    <t>Monthly Payment (Amort)</t>
  </si>
  <si>
    <t>Month</t>
  </si>
  <si>
    <t>IO/Amort</t>
  </si>
  <si>
    <t>Beg Balance</t>
  </si>
  <si>
    <t>Payment</t>
  </si>
  <si>
    <t>Interest</t>
  </si>
  <si>
    <t>Principal</t>
  </si>
  <si>
    <t>End Balance</t>
  </si>
  <si>
    <t>MULTIFAMILY ACQUISITION — INPUTS</t>
  </si>
  <si>
    <t>All inputs below drive the model. Blue = hardcoded input. Black = formula output.</t>
  </si>
  <si>
    <t>ACQUISITION &amp; PROPERTY</t>
  </si>
  <si>
    <t xml:space="preserve">  Property Name</t>
  </si>
  <si>
    <t>UNIT MIX &amp; RENT SCHEDULE</t>
  </si>
  <si>
    <t># Units</t>
  </si>
  <si>
    <t>Avg Rent / Mo ($)</t>
  </si>
  <si>
    <t>Mo Revenue ($)</t>
  </si>
  <si>
    <t>Ann Revenue ($)</t>
  </si>
  <si>
    <t>TOTALS</t>
  </si>
  <si>
    <t xml:space="preserve">  Total Units (auto)</t>
  </si>
  <si>
    <t>RENOVATION</t>
  </si>
  <si>
    <t xml:space="preserve">  Renovation Cost / Unit ($)</t>
  </si>
  <si>
    <t xml:space="preserve">  Total Renovation Budget ($)</t>
  </si>
  <si>
    <t>REVENUE ASSUMPTIONS</t>
  </si>
  <si>
    <t xml:space="preserve">  Real Estate Taxes / Unit / Yr ($)</t>
  </si>
  <si>
    <t xml:space="preserve">  Insurance / Unit / Yr ($)</t>
  </si>
  <si>
    <t xml:space="preserve">  Management Fee (% of EGI)</t>
  </si>
  <si>
    <t xml:space="preserve">  Repairs &amp; Maintenance / Unit / Yr ($)</t>
  </si>
  <si>
    <t xml:space="preserve">  CapEx Reserve / Unit / Yr ($)</t>
  </si>
  <si>
    <t>DEBT ASSUMPTIONS</t>
  </si>
  <si>
    <t>HOLD PERIOD &amp; EXIT</t>
  </si>
  <si>
    <t>GP/LP STRUCTURE</t>
  </si>
  <si>
    <t xml:space="preserve">  LP Pref Return (%)</t>
  </si>
  <si>
    <t>RENT GROWTH BY YEAR</t>
  </si>
  <si>
    <t xml:space="preserve">  Year 1</t>
  </si>
  <si>
    <t xml:space="preserve">  Year 2</t>
  </si>
  <si>
    <t xml:space="preserve">  Year 3</t>
  </si>
  <si>
    <t xml:space="preserve">  Year 4</t>
  </si>
  <si>
    <t xml:space="preserve">  Year 5</t>
  </si>
  <si>
    <t xml:space="preserve">  Year 6</t>
  </si>
  <si>
    <t xml:space="preserve">  Year 7</t>
  </si>
  <si>
    <t xml:space="preserve">  Year 8</t>
  </si>
  <si>
    <t xml:space="preserve">  Year 9</t>
  </si>
  <si>
    <t xml:space="preserve">  Year 10</t>
  </si>
  <si>
    <t>EQUITY SUMMARY</t>
  </si>
  <si>
    <t>CapEx</t>
  </si>
  <si>
    <t>Loan Payoff Yr5</t>
  </si>
  <si>
    <t>[helper] CF Yr0</t>
  </si>
  <si>
    <t>Yr1 CFBT</t>
  </si>
  <si>
    <t>Yr2 CFBT</t>
  </si>
  <si>
    <t>Yr3 CFBT</t>
  </si>
  <si>
    <t>Yr4 CFBT</t>
  </si>
  <si>
    <t>Yr5+Exit</t>
  </si>
  <si>
    <t>[helper] Entry Cap</t>
  </si>
  <si>
    <t>LEVERED RETURN SUMMARY</t>
  </si>
  <si>
    <t xml:space="preserve">  Metric</t>
  </si>
  <si>
    <t>Value</t>
  </si>
  <si>
    <t>UNLEVERED RETURN SUMMARY</t>
  </si>
  <si>
    <t xml:space="preserve">  Avg NOI Yield on Cost</t>
  </si>
  <si>
    <t xml:space="preserve">  Total Cost ($)</t>
  </si>
  <si>
    <t xml:space="preserve">  Unlevered MOIC</t>
  </si>
  <si>
    <t>STAKEHOLDER RETURNS</t>
  </si>
  <si>
    <t>Pricing Scenarios Helper</t>
  </si>
  <si>
    <t>Cash Flow Before Tax (CFBT)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</si>
</sst>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#,##0&quot; SF&quot;"/>
    <numFmt numFmtId="165" formatCode="\$#,##0"/>
    <numFmt numFmtId="167" formatCode="0.0%"/>
    <numFmt numFmtId="168" formatCode="\$#,##0;&quot;($&quot;#,##0\);\-"/>
    <numFmt numFmtId="169" formatCode="0.00\x"/>
    <numFmt numFmtId="171" formatCode="\$#,##0.00000"/>
    <numFmt numFmtId="172" formatCode="\$#,##0.00"/>
    <numFmt numFmtId="173" formatCode="\$#,##0.0000"/>
    <numFmt numFmtId="174" formatCode="\$#,##0.000"/>
    <numFmt numFmtId="175" formatCode="0.0000%"/>
    <numFmt numFmtId="176" formatCode="&quot;$&quot;#,##0"/>
    <numFmt numFmtId="180" formatCode="0.00&quot;x&quot;"/>
    <numFmt numFmtId="181" formatCode="&quot;$&quot;#,##0;\(&quot;$&quot;#,##0\)"/>
  </numFmts>
  <fonts count="43" x14ac:knownFonts="1">
    <font>
      <sz val="12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FFFFFF"/>
      <name val="Arial"/>
      <family val="2"/>
    </font>
    <font>
      <i/>
      <sz val="7"/>
      <color rgb="FF94A3B8"/>
      <name val="Arial"/>
      <family val="2"/>
    </font>
    <font>
      <sz val="8"/>
      <color rgb="FF1F2937"/>
      <name val="Arial"/>
      <family val="2"/>
    </font>
    <font>
      <b/>
      <sz val="9"/>
      <color rgb="FFFFFFFF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00610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6"/>
      <color rgb="FF1F4E79"/>
      <name val="Calibri"/>
      <family val="2"/>
      <charset val="1"/>
    </font>
    <font>
      <sz val="10"/>
      <color rgb="FF333333"/>
      <name val="Calibri"/>
      <family val="2"/>
      <charset val="1"/>
    </font>
    <font>
      <b/>
      <sz val="10"/>
      <color rgb="FF1F4E79"/>
      <name val="Calibri"/>
      <family val="2"/>
      <charset val="1"/>
    </font>
    <font>
      <i/>
      <sz val="10"/>
      <color rgb="FF808080"/>
      <name val="Calibri"/>
      <family val="2"/>
      <charset val="1"/>
    </font>
    <font>
      <b/>
      <sz val="10"/>
      <color rgb="FF333333"/>
      <name val="Calibri"/>
      <family val="2"/>
      <charset val="1"/>
    </font>
    <font>
      <i/>
      <sz val="9"/>
      <color rgb="FF666666"/>
      <name val="Calibri"/>
      <family val="2"/>
      <charset val="1"/>
    </font>
    <font>
      <b/>
      <sz val="10"/>
      <color rgb="FF888888"/>
      <name val="Calibri"/>
      <family val="2"/>
      <charset val="1"/>
    </font>
    <font>
      <i/>
      <sz val="8"/>
      <color rgb="FFCC6600"/>
      <name val="Calibri"/>
      <family val="2"/>
      <charset val="1"/>
    </font>
    <font>
      <sz val="10"/>
      <color rgb="FF0000FF"/>
      <name val="Calibri"/>
      <family val="2"/>
      <charset val="1"/>
    </font>
    <font>
      <sz val="10"/>
      <color rgb="FF1F4E79"/>
      <name val="Calibri"/>
      <family val="2"/>
      <charset val="1"/>
    </font>
    <font>
      <sz val="10"/>
      <color rgb="FF006100"/>
      <name val="Calibri"/>
      <family val="2"/>
      <charset val="1"/>
    </font>
    <font>
      <sz val="9"/>
      <name val="Arial"/>
      <family val="2"/>
    </font>
    <font>
      <b/>
      <sz val="9"/>
      <color theme="1"/>
      <name val="Calibri"/>
      <family val="2"/>
      <charset val="1"/>
    </font>
    <font>
      <b/>
      <sz val="13"/>
      <color rgb="FF002060"/>
      <name val="Calibri"/>
      <family val="2"/>
      <charset val="1"/>
    </font>
    <font>
      <sz val="9"/>
      <color rgb="FF00206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FF"/>
      <name val="Calibri"/>
      <family val="2"/>
      <charset val="1"/>
    </font>
    <font>
      <sz val="9"/>
      <color rgb="FF888888"/>
      <name val="Calibri"/>
      <family val="2"/>
      <charset val="1"/>
    </font>
    <font>
      <b/>
      <sz val="10"/>
      <color rgb="FF9C6500"/>
      <name val="Calibri"/>
      <family val="2"/>
      <charset val="1"/>
    </font>
    <font>
      <b/>
      <sz val="8"/>
      <color rgb="FFFFFFFF"/>
      <name val="Arial"/>
      <family val="2"/>
    </font>
    <font>
      <sz val="8"/>
      <color rgb="FF1F2937"/>
      <name val="Arial"/>
      <family val="2"/>
    </font>
    <font>
      <sz val="9"/>
      <color rgb="FF0000FF"/>
      <name val="Arial"/>
      <family val="2"/>
    </font>
    <font>
      <sz val="12"/>
      <color theme="1"/>
      <name val="Calibri"/>
      <family val="2"/>
      <charset val="1"/>
    </font>
    <font>
      <sz val="9"/>
      <color rgb="FF276221"/>
      <name val="Calibri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theme="0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FFFFFF"/>
      <name val="Calibri"/>
      <family val="2"/>
      <charset val="1"/>
    </font>
    <font>
      <sz val="8"/>
      <color theme="0"/>
      <name val="Calibri"/>
      <family val="2"/>
      <charset val="1"/>
    </font>
    <font>
      <i/>
      <sz val="10"/>
      <color rgb="FF000000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rgb="FF0F172A"/>
        <bgColor rgb="FF002060"/>
      </patternFill>
    </fill>
    <fill>
      <patternFill patternType="solid">
        <fgColor rgb="FFFFFFFF"/>
        <bgColor rgb="FFF8FAFC"/>
      </patternFill>
    </fill>
    <fill>
      <patternFill patternType="solid">
        <fgColor rgb="FFF0F4FA"/>
        <bgColor rgb="FFEEF2F7"/>
      </patternFill>
    </fill>
    <fill>
      <patternFill patternType="mediumGray">
        <fgColor rgb="FF194E83"/>
        <bgColor rgb="FF1F4E79"/>
      </patternFill>
    </fill>
    <fill>
      <patternFill patternType="solid">
        <fgColor rgb="FF2E75B9"/>
        <bgColor rgb="FF194E83"/>
      </patternFill>
    </fill>
    <fill>
      <patternFill patternType="solid">
        <fgColor rgb="FFF5F8FF"/>
        <bgColor rgb="FFF8FAFC"/>
      </patternFill>
    </fill>
    <fill>
      <patternFill patternType="solid">
        <fgColor rgb="FFC6EFCE"/>
        <bgColor rgb="FFC3E6CB"/>
      </patternFill>
    </fill>
    <fill>
      <patternFill patternType="solid">
        <fgColor rgb="FFEBF3FF"/>
        <bgColor rgb="FFEBF1F8"/>
      </patternFill>
    </fill>
    <fill>
      <patternFill patternType="darkGray">
        <fgColor rgb="FF303F50"/>
        <bgColor rgb="FF34495E"/>
      </patternFill>
    </fill>
    <fill>
      <patternFill patternType="solid">
        <fgColor rgb="FFFFF9E6"/>
        <bgColor rgb="FFF8FAFC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43F60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rgb="FFF8FAFC"/>
      </patternFill>
    </fill>
    <fill>
      <patternFill patternType="solid">
        <fgColor theme="0"/>
        <bgColor rgb="FF002060"/>
      </patternFill>
    </fill>
    <fill>
      <patternFill patternType="solid">
        <fgColor rgb="FFF5F8FF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rgb="FFC3E6CB"/>
      </patternFill>
    </fill>
    <fill>
      <patternFill patternType="mediumGray">
        <fgColor rgb="FF194E83"/>
        <bgColor rgb="FF002060"/>
      </patternFill>
    </fill>
    <fill>
      <patternFill patternType="solid">
        <fgColor rgb="FFEBF3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194E83"/>
      </left>
      <right style="thin">
        <color rgb="FF91A3BC"/>
      </right>
      <top style="thin">
        <color rgb="FF194E83"/>
      </top>
      <bottom/>
      <diagonal/>
    </border>
    <border>
      <left style="thin">
        <color rgb="FF91A3BC"/>
      </left>
      <right style="thin">
        <color rgb="FF91A3BC"/>
      </right>
      <top style="thin">
        <color rgb="FF194E83"/>
      </top>
      <bottom/>
      <diagonal/>
    </border>
    <border>
      <left style="thin">
        <color rgb="FF91A3BC"/>
      </left>
      <right style="thin">
        <color rgb="FF194E83"/>
      </right>
      <top style="thin">
        <color rgb="FF194E83"/>
      </top>
      <bottom/>
      <diagonal/>
    </border>
    <border>
      <left style="thin">
        <color rgb="FF194E83"/>
      </left>
      <right style="thin">
        <color rgb="FFC8D6E5"/>
      </right>
      <top style="thin">
        <color rgb="FF194E83"/>
      </top>
      <bottom/>
      <diagonal/>
    </border>
    <border>
      <left style="thin">
        <color rgb="FFC8D6E5"/>
      </left>
      <right style="thin">
        <color rgb="FFC8D6E5"/>
      </right>
      <top style="thin">
        <color rgb="FF194E83"/>
      </top>
      <bottom/>
      <diagonal/>
    </border>
    <border>
      <left style="thin">
        <color rgb="FFC8D6E5"/>
      </left>
      <right style="thin">
        <color rgb="FF194E83"/>
      </right>
      <top style="thin">
        <color rgb="FF194E83"/>
      </top>
      <bottom/>
      <diagonal/>
    </border>
    <border>
      <left style="thin">
        <color rgb="FF194E83"/>
      </left>
      <right style="thin">
        <color rgb="FFC8D6E5"/>
      </right>
      <top style="thin">
        <color rgb="FFC8D6E5"/>
      </top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/>
      <diagonal/>
    </border>
    <border>
      <left style="thin">
        <color rgb="FFC8D6E5"/>
      </left>
      <right style="thin">
        <color rgb="FF194E83"/>
      </right>
      <top style="thin">
        <color rgb="FFC8D6E5"/>
      </top>
      <bottom/>
      <diagonal/>
    </border>
    <border>
      <left/>
      <right/>
      <top style="thin">
        <color rgb="FFBFBFBF"/>
      </top>
      <bottom style="thin">
        <color rgb="FF194E83"/>
      </bottom>
      <diagonal/>
    </border>
    <border>
      <left style="thin">
        <color rgb="FFCCCCCC"/>
      </left>
      <right/>
      <top style="thin">
        <color rgb="FFCCCCCC"/>
      </top>
      <bottom style="thin">
        <color rgb="FFE8E8E8"/>
      </bottom>
      <diagonal/>
    </border>
    <border>
      <left/>
      <right style="thin">
        <color rgb="FFCCCCCC"/>
      </right>
      <top style="thin">
        <color rgb="FFCCCCCC"/>
      </top>
      <bottom style="thin">
        <color rgb="FFE8E8E8"/>
      </bottom>
      <diagonal/>
    </border>
    <border>
      <left style="thin">
        <color rgb="FFCCCCCC"/>
      </left>
      <right/>
      <top style="thin">
        <color rgb="FFE8E8E8"/>
      </top>
      <bottom style="thin">
        <color rgb="FFE8E8E8"/>
      </bottom>
      <diagonal/>
    </border>
    <border>
      <left/>
      <right style="thin">
        <color rgb="FFCCCCCC"/>
      </right>
      <top style="thin">
        <color rgb="FFE8E8E8"/>
      </top>
      <bottom style="thin">
        <color rgb="FFE8E8E8"/>
      </bottom>
      <diagonal/>
    </border>
    <border>
      <left style="thin">
        <color rgb="FFCCCCCC"/>
      </left>
      <right/>
      <top style="thin">
        <color rgb="FFE8E8E8"/>
      </top>
      <bottom style="thin">
        <color rgb="FFCCCCCC"/>
      </bottom>
      <diagonal/>
    </border>
    <border>
      <left/>
      <right style="thin">
        <color rgb="FFCCCCCC"/>
      </right>
      <top style="thin">
        <color rgb="FFE8E8E8"/>
      </top>
      <bottom style="thin">
        <color rgb="FFCCCCCC"/>
      </bottom>
      <diagonal/>
    </border>
    <border>
      <left style="thin">
        <color rgb="FF006100"/>
      </left>
      <right style="thin">
        <color rgb="FF838482"/>
      </right>
      <top style="thin">
        <color rgb="FF006100"/>
      </top>
      <bottom style="thin">
        <color rgb="FF006100"/>
      </bottom>
      <diagonal/>
    </border>
    <border>
      <left style="thin">
        <color rgb="FF838482"/>
      </left>
      <right style="thin">
        <color rgb="FF838482"/>
      </right>
      <top style="thin">
        <color rgb="FF006100"/>
      </top>
      <bottom style="thin">
        <color rgb="FF006100"/>
      </bottom>
      <diagonal/>
    </border>
    <border>
      <left style="thin">
        <color rgb="FF838482"/>
      </left>
      <right style="thin">
        <color rgb="FF006100"/>
      </right>
      <top style="thin">
        <color rgb="FF006100"/>
      </top>
      <bottom style="thin">
        <color rgb="FF006100"/>
      </bottom>
      <diagonal/>
    </border>
    <border>
      <left/>
      <right/>
      <top style="thin">
        <color rgb="FFD8E2EE"/>
      </top>
      <bottom style="thin">
        <color rgb="FFD8E2EE"/>
      </bottom>
      <diagonal/>
    </border>
    <border>
      <left/>
      <right/>
      <top style="thin">
        <color rgb="FFD8E2EE"/>
      </top>
      <bottom/>
      <diagonal/>
    </border>
    <border>
      <left/>
      <right/>
      <top style="thin">
        <color rgb="FF006100"/>
      </top>
      <bottom/>
      <diagonal/>
    </border>
    <border>
      <left/>
      <right/>
      <top/>
      <bottom style="thin">
        <color rgb="FF006100"/>
      </bottom>
      <diagonal/>
    </border>
    <border>
      <left/>
      <right/>
      <top/>
      <bottom style="medium">
        <color rgb="FF94A3B8"/>
      </bottom>
      <diagonal/>
    </border>
    <border>
      <left/>
      <right/>
      <top/>
      <bottom style="thin">
        <color rgb="FFE2E8F0"/>
      </bottom>
      <diagonal/>
    </border>
  </borders>
  <cellStyleXfs count="3">
    <xf numFmtId="0" fontId="0" fillId="0" borderId="0"/>
    <xf numFmtId="44" fontId="34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29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0" fillId="2" borderId="0" xfId="0" applyFill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7" fillId="5" borderId="0" xfId="0" applyFont="1" applyFill="1"/>
    <xf numFmtId="0" fontId="9" fillId="7" borderId="0" xfId="0" applyFont="1" applyFill="1"/>
    <xf numFmtId="0" fontId="9" fillId="3" borderId="0" xfId="0" applyFont="1" applyFill="1"/>
    <xf numFmtId="0" fontId="1" fillId="7" borderId="0" xfId="0" applyFont="1" applyFill="1"/>
    <xf numFmtId="0" fontId="7" fillId="6" borderId="0" xfId="0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0" fontId="12" fillId="3" borderId="0" xfId="0" applyFont="1" applyFill="1"/>
    <xf numFmtId="0" fontId="0" fillId="3" borderId="0" xfId="0" applyFill="1"/>
    <xf numFmtId="0" fontId="6" fillId="3" borderId="0" xfId="0" applyFont="1" applyFill="1"/>
    <xf numFmtId="0" fontId="7" fillId="10" borderId="0" xfId="0" applyFont="1" applyFill="1"/>
    <xf numFmtId="0" fontId="13" fillId="7" borderId="0" xfId="0" applyFont="1" applyFill="1"/>
    <xf numFmtId="165" fontId="13" fillId="7" borderId="0" xfId="0" applyNumberFormat="1" applyFont="1" applyFill="1"/>
    <xf numFmtId="0" fontId="13" fillId="3" borderId="0" xfId="0" applyFont="1" applyFill="1"/>
    <xf numFmtId="167" fontId="13" fillId="3" borderId="0" xfId="0" applyNumberFormat="1" applyFont="1" applyFill="1"/>
    <xf numFmtId="0" fontId="8" fillId="8" borderId="0" xfId="0" applyFont="1" applyFill="1"/>
    <xf numFmtId="165" fontId="8" fillId="8" borderId="11" xfId="0" applyNumberFormat="1" applyFont="1" applyFill="1" applyBorder="1"/>
    <xf numFmtId="167" fontId="13" fillId="7" borderId="0" xfId="0" applyNumberFormat="1" applyFont="1" applyFill="1"/>
    <xf numFmtId="168" fontId="13" fillId="7" borderId="0" xfId="0" applyNumberFormat="1" applyFont="1" applyFill="1"/>
    <xf numFmtId="165" fontId="1" fillId="7" borderId="0" xfId="0" applyNumberFormat="1" applyFont="1" applyFill="1"/>
    <xf numFmtId="165" fontId="13" fillId="3" borderId="0" xfId="0" applyNumberFormat="1" applyFont="1" applyFill="1"/>
    <xf numFmtId="0" fontId="14" fillId="9" borderId="0" xfId="0" applyFont="1" applyFill="1"/>
    <xf numFmtId="165" fontId="14" fillId="9" borderId="0" xfId="0" applyNumberFormat="1" applyFont="1" applyFill="1"/>
    <xf numFmtId="165" fontId="14" fillId="9" borderId="11" xfId="0" applyNumberFormat="1" applyFont="1" applyFill="1" applyBorder="1"/>
    <xf numFmtId="168" fontId="8" fillId="8" borderId="11" xfId="0" applyNumberFormat="1" applyFont="1" applyFill="1" applyBorder="1"/>
    <xf numFmtId="168" fontId="8" fillId="8" borderId="0" xfId="0" applyNumberFormat="1" applyFont="1" applyFill="1"/>
    <xf numFmtId="169" fontId="13" fillId="7" borderId="0" xfId="0" applyNumberFormat="1" applyFont="1" applyFill="1"/>
    <xf numFmtId="10" fontId="13" fillId="7" borderId="0" xfId="0" applyNumberFormat="1" applyFont="1" applyFill="1"/>
    <xf numFmtId="0" fontId="9" fillId="9" borderId="0" xfId="0" applyFont="1" applyFill="1"/>
    <xf numFmtId="0" fontId="7" fillId="10" borderId="0" xfId="0" applyFont="1" applyFill="1" applyAlignment="1">
      <alignment horizontal="left"/>
    </xf>
    <xf numFmtId="0" fontId="7" fillId="10" borderId="0" xfId="0" applyFont="1" applyFill="1" applyAlignment="1">
      <alignment horizontal="center"/>
    </xf>
    <xf numFmtId="0" fontId="16" fillId="7" borderId="0" xfId="0" applyFont="1" applyFill="1"/>
    <xf numFmtId="168" fontId="10" fillId="7" borderId="0" xfId="0" applyNumberFormat="1" applyFont="1" applyFill="1"/>
    <xf numFmtId="0" fontId="16" fillId="3" borderId="0" xfId="0" applyFont="1" applyFill="1"/>
    <xf numFmtId="169" fontId="7" fillId="5" borderId="0" xfId="0" applyNumberFormat="1" applyFont="1" applyFill="1"/>
    <xf numFmtId="169" fontId="7" fillId="10" borderId="0" xfId="0" applyNumberFormat="1" applyFont="1" applyFill="1" applyAlignment="1">
      <alignment horizontal="center"/>
    </xf>
    <xf numFmtId="168" fontId="1" fillId="7" borderId="0" xfId="0" applyNumberFormat="1" applyFont="1" applyFill="1"/>
    <xf numFmtId="169" fontId="18" fillId="3" borderId="0" xfId="0" applyNumberFormat="1" applyFont="1" applyFill="1" applyAlignment="1">
      <alignment horizontal="center"/>
    </xf>
    <xf numFmtId="167" fontId="1" fillId="3" borderId="0" xfId="0" applyNumberFormat="1" applyFont="1" applyFill="1"/>
    <xf numFmtId="169" fontId="18" fillId="7" borderId="0" xfId="0" applyNumberFormat="1" applyFont="1" applyFill="1" applyAlignment="1">
      <alignment horizontal="center"/>
    </xf>
    <xf numFmtId="169" fontId="1" fillId="7" borderId="0" xfId="0" applyNumberFormat="1" applyFont="1" applyFill="1"/>
    <xf numFmtId="0" fontId="14" fillId="8" borderId="0" xfId="0" applyFont="1" applyFill="1"/>
    <xf numFmtId="169" fontId="18" fillId="8" borderId="0" xfId="0" applyNumberFormat="1" applyFont="1" applyFill="1" applyAlignment="1">
      <alignment horizontal="center"/>
    </xf>
    <xf numFmtId="169" fontId="8" fillId="8" borderId="0" xfId="0" applyNumberFormat="1" applyFont="1" applyFill="1"/>
    <xf numFmtId="0" fontId="17" fillId="7" borderId="0" xfId="0" applyFont="1" applyFill="1"/>
    <xf numFmtId="0" fontId="0" fillId="7" borderId="0" xfId="0" applyFill="1"/>
    <xf numFmtId="0" fontId="19" fillId="3" borderId="0" xfId="0" applyFont="1" applyFill="1"/>
    <xf numFmtId="0" fontId="19" fillId="9" borderId="0" xfId="0" applyFont="1" applyFill="1"/>
    <xf numFmtId="0" fontId="1" fillId="11" borderId="0" xfId="0" applyFont="1" applyFill="1" applyAlignment="1">
      <alignment horizontal="center"/>
    </xf>
    <xf numFmtId="165" fontId="1" fillId="11" borderId="0" xfId="0" applyNumberFormat="1" applyFont="1" applyFill="1"/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7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/>
    </xf>
    <xf numFmtId="0" fontId="7" fillId="6" borderId="2" xfId="0" applyFont="1" applyFill="1" applyBorder="1" applyAlignment="1">
      <alignment horizontal="left" indent="1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20" fillId="4" borderId="8" xfId="0" applyFont="1" applyFill="1" applyBorder="1" applyAlignment="1">
      <alignment vertical="center" indent="1"/>
    </xf>
    <xf numFmtId="3" fontId="20" fillId="4" borderId="9" xfId="0" applyNumberFormat="1" applyFont="1" applyFill="1" applyBorder="1" applyAlignment="1">
      <alignment horizontal="center" vertical="center"/>
    </xf>
    <xf numFmtId="165" fontId="20" fillId="4" borderId="9" xfId="0" applyNumberFormat="1" applyFont="1" applyFill="1" applyBorder="1" applyAlignment="1">
      <alignment horizontal="center" vertical="center"/>
    </xf>
    <xf numFmtId="165" fontId="1" fillId="4" borderId="9" xfId="0" applyNumberFormat="1" applyFont="1" applyFill="1" applyBorder="1" applyAlignment="1">
      <alignment horizontal="center" vertical="center"/>
    </xf>
    <xf numFmtId="165" fontId="1" fillId="4" borderId="10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vertical="center" indent="1"/>
    </xf>
    <xf numFmtId="3" fontId="20" fillId="3" borderId="9" xfId="0" applyNumberFormat="1" applyFont="1" applyFill="1" applyBorder="1" applyAlignment="1">
      <alignment horizontal="center" vertical="center"/>
    </xf>
    <xf numFmtId="165" fontId="20" fillId="3" borderId="9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165" fontId="1" fillId="3" borderId="10" xfId="0" applyNumberFormat="1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 indent="1"/>
    </xf>
    <xf numFmtId="3" fontId="8" fillId="8" borderId="19" xfId="0" applyNumberFormat="1" applyFont="1" applyFill="1" applyBorder="1" applyAlignment="1">
      <alignment horizontal="center" vertical="center"/>
    </xf>
    <xf numFmtId="165" fontId="8" fillId="8" borderId="19" xfId="0" applyNumberFormat="1" applyFont="1" applyFill="1" applyBorder="1" applyAlignment="1">
      <alignment horizontal="center" vertical="center"/>
    </xf>
    <xf numFmtId="165" fontId="8" fillId="8" borderId="20" xfId="0" applyNumberFormat="1" applyFont="1" applyFill="1" applyBorder="1" applyAlignment="1">
      <alignment horizontal="center" vertical="center"/>
    </xf>
    <xf numFmtId="0" fontId="21" fillId="9" borderId="0" xfId="0" applyFont="1" applyFill="1" applyAlignment="1">
      <alignment indent="2"/>
    </xf>
    <xf numFmtId="3" fontId="21" fillId="9" borderId="0" xfId="0" applyNumberFormat="1" applyFont="1" applyFill="1"/>
    <xf numFmtId="0" fontId="21" fillId="9" borderId="0" xfId="0" applyFont="1" applyFill="1"/>
    <xf numFmtId="0" fontId="14" fillId="9" borderId="0" xfId="0" applyFont="1" applyFill="1" applyAlignment="1">
      <alignment indent="2"/>
    </xf>
    <xf numFmtId="0" fontId="1" fillId="3" borderId="0" xfId="0" applyFont="1" applyFill="1" applyAlignment="1">
      <alignment vertical="center" indent="1"/>
    </xf>
    <xf numFmtId="0" fontId="1" fillId="3" borderId="0" xfId="0" applyFont="1" applyFill="1" applyAlignment="1">
      <alignment vertical="center"/>
    </xf>
    <xf numFmtId="0" fontId="10" fillId="4" borderId="21" xfId="0" applyFont="1" applyFill="1" applyBorder="1" applyAlignment="1">
      <alignment vertical="center" indent="1"/>
    </xf>
    <xf numFmtId="165" fontId="10" fillId="4" borderId="21" xfId="0" applyNumberFormat="1" applyFont="1" applyFill="1" applyBorder="1" applyAlignment="1">
      <alignment vertical="center"/>
    </xf>
    <xf numFmtId="0" fontId="10" fillId="4" borderId="21" xfId="0" applyFont="1" applyFill="1" applyBorder="1" applyAlignment="1">
      <alignment vertical="center"/>
    </xf>
    <xf numFmtId="167" fontId="20" fillId="3" borderId="0" xfId="0" applyNumberFormat="1" applyFont="1" applyFill="1" applyAlignment="1">
      <alignment vertical="center"/>
    </xf>
    <xf numFmtId="0" fontId="1" fillId="4" borderId="21" xfId="0" applyFont="1" applyFill="1" applyBorder="1" applyAlignment="1">
      <alignment vertical="center" indent="1"/>
    </xf>
    <xf numFmtId="165" fontId="20" fillId="4" borderId="21" xfId="0" applyNumberFormat="1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165" fontId="20" fillId="3" borderId="0" xfId="0" applyNumberFormat="1" applyFont="1" applyFill="1" applyAlignment="1">
      <alignment vertical="center"/>
    </xf>
    <xf numFmtId="0" fontId="1" fillId="4" borderId="22" xfId="0" applyFont="1" applyFill="1" applyBorder="1" applyAlignment="1">
      <alignment vertical="center" indent="1"/>
    </xf>
    <xf numFmtId="165" fontId="20" fillId="4" borderId="22" xfId="0" applyNumberFormat="1" applyFont="1" applyFill="1" applyBorder="1" applyAlignment="1">
      <alignment vertical="center"/>
    </xf>
    <xf numFmtId="0" fontId="1" fillId="4" borderId="22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 indent="1"/>
    </xf>
    <xf numFmtId="167" fontId="20" fillId="3" borderId="22" xfId="0" applyNumberFormat="1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165" fontId="20" fillId="3" borderId="22" xfId="0" applyNumberFormat="1" applyFont="1" applyFill="1" applyBorder="1" applyAlignment="1">
      <alignment vertical="center"/>
    </xf>
    <xf numFmtId="167" fontId="20" fillId="4" borderId="21" xfId="0" applyNumberFormat="1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167" fontId="20" fillId="4" borderId="22" xfId="0" applyNumberFormat="1" applyFont="1" applyFill="1" applyBorder="1" applyAlignment="1">
      <alignment vertical="center"/>
    </xf>
    <xf numFmtId="0" fontId="10" fillId="3" borderId="22" xfId="0" applyFont="1" applyFill="1" applyBorder="1" applyAlignment="1">
      <alignment vertical="center" indent="1"/>
    </xf>
    <xf numFmtId="165" fontId="10" fillId="3" borderId="22" xfId="0" applyNumberFormat="1" applyFont="1" applyFill="1" applyBorder="1" applyAlignment="1">
      <alignment vertical="center"/>
    </xf>
    <xf numFmtId="0" fontId="10" fillId="3" borderId="22" xfId="0" applyFont="1" applyFill="1" applyBorder="1" applyAlignment="1">
      <alignment vertical="center"/>
    </xf>
    <xf numFmtId="10" fontId="20" fillId="4" borderId="22" xfId="0" applyNumberFormat="1" applyFont="1" applyFill="1" applyBorder="1" applyAlignment="1">
      <alignment vertical="center"/>
    </xf>
    <xf numFmtId="3" fontId="20" fillId="3" borderId="22" xfId="0" applyNumberFormat="1" applyFont="1" applyFill="1" applyBorder="1" applyAlignment="1">
      <alignment vertical="center"/>
    </xf>
    <xf numFmtId="3" fontId="20" fillId="4" borderId="22" xfId="0" applyNumberFormat="1" applyFont="1" applyFill="1" applyBorder="1" applyAlignment="1">
      <alignment vertical="center"/>
    </xf>
    <xf numFmtId="0" fontId="1" fillId="3" borderId="21" xfId="0" applyFont="1" applyFill="1" applyBorder="1" applyAlignment="1">
      <alignment vertical="center" indent="1"/>
    </xf>
    <xf numFmtId="165" fontId="1" fillId="3" borderId="21" xfId="0" applyNumberFormat="1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3" fontId="20" fillId="3" borderId="0" xfId="0" applyNumberFormat="1" applyFont="1" applyFill="1" applyAlignment="1">
      <alignment vertical="center"/>
    </xf>
    <xf numFmtId="167" fontId="20" fillId="3" borderId="21" xfId="0" applyNumberFormat="1" applyFont="1" applyFill="1" applyBorder="1" applyAlignment="1">
      <alignment vertical="center"/>
    </xf>
    <xf numFmtId="0" fontId="8" fillId="8" borderId="23" xfId="0" applyFont="1" applyFill="1" applyBorder="1" applyAlignment="1">
      <alignment indent="1"/>
    </xf>
    <xf numFmtId="165" fontId="8" fillId="8" borderId="23" xfId="0" applyNumberFormat="1" applyFont="1" applyFill="1" applyBorder="1"/>
    <xf numFmtId="0" fontId="8" fillId="8" borderId="23" xfId="0" applyFont="1" applyFill="1" applyBorder="1"/>
    <xf numFmtId="0" fontId="22" fillId="8" borderId="0" xfId="0" applyFont="1" applyFill="1" applyAlignment="1">
      <alignment indent="2"/>
    </xf>
    <xf numFmtId="165" fontId="22" fillId="8" borderId="0" xfId="0" applyNumberFormat="1" applyFont="1" applyFill="1"/>
    <xf numFmtId="0" fontId="22" fillId="8" borderId="0" xfId="0" applyFont="1" applyFill="1"/>
    <xf numFmtId="0" fontId="22" fillId="8" borderId="24" xfId="0" applyFont="1" applyFill="1" applyBorder="1" applyAlignment="1">
      <alignment indent="2"/>
    </xf>
    <xf numFmtId="165" fontId="22" fillId="8" borderId="24" xfId="0" applyNumberFormat="1" applyFont="1" applyFill="1" applyBorder="1"/>
    <xf numFmtId="0" fontId="22" fillId="8" borderId="24" xfId="0" applyFont="1" applyFill="1" applyBorder="1"/>
    <xf numFmtId="165" fontId="23" fillId="3" borderId="6" xfId="0" applyNumberFormat="1" applyFont="1" applyFill="1" applyBorder="1" applyAlignment="1">
      <alignment horizontal="center" vertical="center"/>
    </xf>
    <xf numFmtId="165" fontId="23" fillId="3" borderId="7" xfId="0" applyNumberFormat="1" applyFont="1" applyFill="1" applyBorder="1" applyAlignment="1">
      <alignment horizontal="center" vertical="center"/>
    </xf>
    <xf numFmtId="0" fontId="5" fillId="15" borderId="0" xfId="0" applyFont="1" applyFill="1"/>
    <xf numFmtId="0" fontId="5" fillId="15" borderId="0" xfId="0" applyFont="1" applyFill="1" applyAlignment="1">
      <alignment horizontal="center"/>
    </xf>
    <xf numFmtId="10" fontId="5" fillId="15" borderId="0" xfId="0" applyNumberFormat="1" applyFont="1" applyFill="1" applyAlignment="1">
      <alignment horizontal="center"/>
    </xf>
    <xf numFmtId="0" fontId="27" fillId="0" borderId="0" xfId="0" applyFont="1"/>
    <xf numFmtId="0" fontId="5" fillId="12" borderId="0" xfId="0" applyFont="1" applyFill="1"/>
    <xf numFmtId="0" fontId="28" fillId="17" borderId="0" xfId="0" applyFont="1" applyFill="1"/>
    <xf numFmtId="176" fontId="27" fillId="17" borderId="0" xfId="0" applyNumberFormat="1" applyFont="1" applyFill="1" applyAlignment="1">
      <alignment horizontal="center"/>
    </xf>
    <xf numFmtId="3" fontId="27" fillId="17" borderId="0" xfId="0" applyNumberFormat="1" applyFont="1" applyFill="1" applyAlignment="1">
      <alignment horizontal="center"/>
    </xf>
    <xf numFmtId="0" fontId="0" fillId="17" borderId="0" xfId="0" applyFill="1"/>
    <xf numFmtId="0" fontId="24" fillId="18" borderId="0" xfId="0" applyFont="1" applyFill="1"/>
    <xf numFmtId="0" fontId="24" fillId="18" borderId="0" xfId="0" applyFont="1" applyFill="1" applyAlignment="1">
      <alignment horizontal="center"/>
    </xf>
    <xf numFmtId="176" fontId="24" fillId="18" borderId="0" xfId="0" applyNumberFormat="1" applyFont="1" applyFill="1" applyAlignment="1">
      <alignment horizontal="center"/>
    </xf>
    <xf numFmtId="3" fontId="24" fillId="18" borderId="0" xfId="0" applyNumberFormat="1" applyFont="1" applyFill="1" applyAlignment="1">
      <alignment horizontal="center"/>
    </xf>
    <xf numFmtId="0" fontId="7" fillId="12" borderId="0" xfId="0" applyFont="1" applyFill="1"/>
    <xf numFmtId="0" fontId="27" fillId="17" borderId="0" xfId="0" applyFont="1" applyFill="1"/>
    <xf numFmtId="167" fontId="27" fillId="17" borderId="0" xfId="0" applyNumberFormat="1" applyFont="1" applyFill="1"/>
    <xf numFmtId="176" fontId="27" fillId="17" borderId="0" xfId="0" applyNumberFormat="1" applyFont="1" applyFill="1"/>
    <xf numFmtId="0" fontId="5" fillId="16" borderId="0" xfId="0" applyFont="1" applyFill="1" applyAlignment="1">
      <alignment horizontal="center"/>
    </xf>
    <xf numFmtId="181" fontId="27" fillId="17" borderId="0" xfId="0" applyNumberFormat="1" applyFont="1" applyFill="1"/>
    <xf numFmtId="0" fontId="24" fillId="17" borderId="0" xfId="0" applyFont="1" applyFill="1"/>
    <xf numFmtId="0" fontId="27" fillId="14" borderId="0" xfId="0" applyFont="1" applyFill="1"/>
    <xf numFmtId="167" fontId="27" fillId="14" borderId="0" xfId="0" applyNumberFormat="1" applyFont="1" applyFill="1"/>
    <xf numFmtId="176" fontId="27" fillId="14" borderId="0" xfId="0" applyNumberFormat="1" applyFont="1" applyFill="1"/>
    <xf numFmtId="0" fontId="24" fillId="14" borderId="0" xfId="0" applyFont="1" applyFill="1"/>
    <xf numFmtId="176" fontId="24" fillId="14" borderId="0" xfId="0" applyNumberFormat="1" applyFont="1" applyFill="1"/>
    <xf numFmtId="176" fontId="24" fillId="17" borderId="0" xfId="0" applyNumberFormat="1" applyFont="1" applyFill="1"/>
    <xf numFmtId="0" fontId="24" fillId="19" borderId="0" xfId="0" applyFont="1" applyFill="1"/>
    <xf numFmtId="167" fontId="24" fillId="19" borderId="0" xfId="0" applyNumberFormat="1" applyFont="1" applyFill="1"/>
    <xf numFmtId="180" fontId="24" fillId="19" borderId="0" xfId="0" applyNumberFormat="1" applyFont="1" applyFill="1"/>
    <xf numFmtId="0" fontId="33" fillId="17" borderId="0" xfId="0" applyFont="1" applyFill="1"/>
    <xf numFmtId="0" fontId="33" fillId="17" borderId="0" xfId="0" applyFont="1" applyFill="1" applyAlignment="1">
      <alignment horizontal="center"/>
    </xf>
    <xf numFmtId="0" fontId="31" fillId="20" borderId="25" xfId="0" applyFont="1" applyFill="1" applyBorder="1" applyAlignment="1">
      <alignment horizontal="center" vertical="center"/>
    </xf>
    <xf numFmtId="0" fontId="32" fillId="21" borderId="1" xfId="0" applyFont="1" applyFill="1" applyBorder="1" applyAlignment="1">
      <alignment horizontal="center" vertical="center"/>
    </xf>
    <xf numFmtId="165" fontId="32" fillId="21" borderId="26" xfId="0" applyNumberFormat="1" applyFont="1" applyFill="1" applyBorder="1" applyAlignment="1">
      <alignment horizontal="right" vertical="center"/>
    </xf>
    <xf numFmtId="1" fontId="32" fillId="21" borderId="26" xfId="0" applyNumberFormat="1" applyFont="1" applyFill="1" applyBorder="1" applyAlignment="1">
      <alignment horizontal="center" vertical="center"/>
    </xf>
    <xf numFmtId="1" fontId="32" fillId="21" borderId="26" xfId="0" applyNumberFormat="1" applyFont="1" applyFill="1" applyBorder="1" applyAlignment="1">
      <alignment horizontal="right" vertical="center"/>
    </xf>
    <xf numFmtId="2" fontId="32" fillId="21" borderId="26" xfId="0" applyNumberFormat="1" applyFont="1" applyFill="1" applyBorder="1" applyAlignment="1">
      <alignment horizontal="right" vertical="center"/>
    </xf>
    <xf numFmtId="0" fontId="32" fillId="21" borderId="26" xfId="0" applyFont="1" applyFill="1" applyBorder="1" applyAlignment="1">
      <alignment horizontal="left" vertical="center"/>
    </xf>
    <xf numFmtId="2" fontId="32" fillId="21" borderId="26" xfId="0" applyNumberFormat="1" applyFont="1" applyFill="1" applyBorder="1" applyAlignment="1">
      <alignment horizontal="center" vertical="center"/>
    </xf>
    <xf numFmtId="0" fontId="32" fillId="21" borderId="26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165" fontId="32" fillId="3" borderId="26" xfId="0" applyNumberFormat="1" applyFont="1" applyFill="1" applyBorder="1" applyAlignment="1">
      <alignment horizontal="right" vertical="center"/>
    </xf>
    <xf numFmtId="1" fontId="32" fillId="3" borderId="26" xfId="0" applyNumberFormat="1" applyFont="1" applyFill="1" applyBorder="1" applyAlignment="1">
      <alignment horizontal="center" vertical="center"/>
    </xf>
    <xf numFmtId="1" fontId="32" fillId="3" borderId="26" xfId="0" applyNumberFormat="1" applyFont="1" applyFill="1" applyBorder="1" applyAlignment="1">
      <alignment horizontal="right" vertical="center"/>
    </xf>
    <xf numFmtId="2" fontId="32" fillId="3" borderId="26" xfId="0" applyNumberFormat="1" applyFont="1" applyFill="1" applyBorder="1" applyAlignment="1">
      <alignment horizontal="right" vertical="center"/>
    </xf>
    <xf numFmtId="0" fontId="32" fillId="3" borderId="26" xfId="0" applyFont="1" applyFill="1" applyBorder="1" applyAlignment="1">
      <alignment horizontal="left" vertical="center"/>
    </xf>
    <xf numFmtId="2" fontId="32" fillId="3" borderId="26" xfId="0" applyNumberFormat="1" applyFont="1" applyFill="1" applyBorder="1" applyAlignment="1">
      <alignment horizontal="center" vertical="center"/>
    </xf>
    <xf numFmtId="0" fontId="32" fillId="3" borderId="26" xfId="0" applyFont="1" applyFill="1" applyBorder="1" applyAlignment="1">
      <alignment horizontal="center" vertical="center"/>
    </xf>
    <xf numFmtId="2" fontId="32" fillId="0" borderId="26" xfId="0" applyNumberFormat="1" applyFont="1" applyBorder="1" applyAlignment="1">
      <alignment horizontal="right" vertical="center"/>
    </xf>
    <xf numFmtId="0" fontId="32" fillId="0" borderId="26" xfId="0" applyFont="1" applyBorder="1" applyAlignment="1">
      <alignment horizontal="left" vertical="center"/>
    </xf>
    <xf numFmtId="0" fontId="32" fillId="4" borderId="1" xfId="0" applyFont="1" applyFill="1" applyBorder="1" applyAlignment="1">
      <alignment horizontal="center" vertical="center"/>
    </xf>
    <xf numFmtId="165" fontId="32" fillId="4" borderId="26" xfId="0" applyNumberFormat="1" applyFont="1" applyFill="1" applyBorder="1" applyAlignment="1">
      <alignment horizontal="right" vertical="center"/>
    </xf>
    <xf numFmtId="1" fontId="32" fillId="4" borderId="26" xfId="0" applyNumberFormat="1" applyFont="1" applyFill="1" applyBorder="1" applyAlignment="1">
      <alignment horizontal="center" vertical="center"/>
    </xf>
    <xf numFmtId="1" fontId="32" fillId="4" borderId="26" xfId="0" applyNumberFormat="1" applyFont="1" applyFill="1" applyBorder="1" applyAlignment="1">
      <alignment horizontal="right" vertical="center"/>
    </xf>
    <xf numFmtId="2" fontId="32" fillId="4" borderId="26" xfId="0" applyNumberFormat="1" applyFont="1" applyFill="1" applyBorder="1" applyAlignment="1">
      <alignment horizontal="right" vertical="center"/>
    </xf>
    <xf numFmtId="0" fontId="32" fillId="4" borderId="26" xfId="0" applyFont="1" applyFill="1" applyBorder="1" applyAlignment="1">
      <alignment horizontal="left" vertical="center"/>
    </xf>
    <xf numFmtId="2" fontId="32" fillId="4" borderId="26" xfId="0" applyNumberFormat="1" applyFont="1" applyFill="1" applyBorder="1" applyAlignment="1">
      <alignment horizontal="center" vertical="center"/>
    </xf>
    <xf numFmtId="0" fontId="32" fillId="4" borderId="26" xfId="0" applyFont="1" applyFill="1" applyBorder="1" applyAlignment="1">
      <alignment horizontal="center" vertical="center"/>
    </xf>
    <xf numFmtId="0" fontId="33" fillId="3" borderId="0" xfId="0" applyFont="1" applyFill="1"/>
    <xf numFmtId="165" fontId="33" fillId="3" borderId="0" xfId="0" applyNumberFormat="1" applyFont="1" applyFill="1"/>
    <xf numFmtId="0" fontId="33" fillId="3" borderId="5" xfId="0" applyFont="1" applyFill="1" applyBorder="1" applyAlignment="1">
      <alignment vertical="center" indent="1"/>
    </xf>
    <xf numFmtId="3" fontId="33" fillId="3" borderId="6" xfId="0" applyNumberFormat="1" applyFont="1" applyFill="1" applyBorder="1" applyAlignment="1">
      <alignment horizontal="center" vertical="center"/>
    </xf>
    <xf numFmtId="165" fontId="33" fillId="3" borderId="6" xfId="0" applyNumberFormat="1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vertical="center" indent="1"/>
    </xf>
    <xf numFmtId="3" fontId="33" fillId="4" borderId="9" xfId="0" applyNumberFormat="1" applyFont="1" applyFill="1" applyBorder="1" applyAlignment="1">
      <alignment horizontal="center" vertical="center"/>
    </xf>
    <xf numFmtId="165" fontId="33" fillId="4" borderId="9" xfId="0" applyNumberFormat="1" applyFont="1" applyFill="1" applyBorder="1" applyAlignment="1">
      <alignment horizontal="center" vertical="center"/>
    </xf>
    <xf numFmtId="165" fontId="23" fillId="4" borderId="9" xfId="0" applyNumberFormat="1" applyFont="1" applyFill="1" applyBorder="1" applyAlignment="1">
      <alignment horizontal="center" vertical="center"/>
    </xf>
    <xf numFmtId="165" fontId="23" fillId="4" borderId="10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vertical="center" indent="1"/>
    </xf>
    <xf numFmtId="3" fontId="33" fillId="3" borderId="9" xfId="0" applyNumberFormat="1" applyFont="1" applyFill="1" applyBorder="1" applyAlignment="1">
      <alignment horizontal="center" vertical="center"/>
    </xf>
    <xf numFmtId="165" fontId="33" fillId="3" borderId="9" xfId="0" applyNumberFormat="1" applyFont="1" applyFill="1" applyBorder="1" applyAlignment="1">
      <alignment horizontal="center" vertical="center"/>
    </xf>
    <xf numFmtId="165" fontId="23" fillId="3" borderId="9" xfId="0" applyNumberFormat="1" applyFont="1" applyFill="1" applyBorder="1" applyAlignment="1">
      <alignment horizontal="center" vertical="center"/>
    </xf>
    <xf numFmtId="165" fontId="23" fillId="3" borderId="10" xfId="0" applyNumberFormat="1" applyFont="1" applyFill="1" applyBorder="1" applyAlignment="1">
      <alignment horizontal="center" vertical="center"/>
    </xf>
    <xf numFmtId="165" fontId="33" fillId="3" borderId="0" xfId="0" applyNumberFormat="1" applyFont="1" applyFill="1" applyAlignment="1">
      <alignment vertical="center"/>
    </xf>
    <xf numFmtId="0" fontId="25" fillId="22" borderId="0" xfId="0" applyFont="1" applyFill="1"/>
    <xf numFmtId="0" fontId="0" fillId="22" borderId="0" xfId="0" applyFill="1"/>
    <xf numFmtId="0" fontId="24" fillId="22" borderId="0" xfId="0" applyFont="1" applyFill="1"/>
    <xf numFmtId="0" fontId="33" fillId="22" borderId="0" xfId="0" applyFont="1" applyFill="1"/>
    <xf numFmtId="0" fontId="27" fillId="22" borderId="0" xfId="0" applyFont="1" applyFill="1"/>
    <xf numFmtId="176" fontId="33" fillId="22" borderId="0" xfId="0" applyNumberFormat="1" applyFont="1" applyFill="1"/>
    <xf numFmtId="176" fontId="27" fillId="22" borderId="0" xfId="0" applyNumberFormat="1" applyFont="1" applyFill="1"/>
    <xf numFmtId="167" fontId="28" fillId="22" borderId="0" xfId="0" applyNumberFormat="1" applyFont="1" applyFill="1"/>
    <xf numFmtId="176" fontId="24" fillId="22" borderId="0" xfId="0" applyNumberFormat="1" applyFont="1" applyFill="1"/>
    <xf numFmtId="0" fontId="33" fillId="22" borderId="0" xfId="0" applyFont="1" applyFill="1" applyAlignment="1">
      <alignment horizontal="center"/>
    </xf>
    <xf numFmtId="176" fontId="27" fillId="22" borderId="0" xfId="0" applyNumberFormat="1" applyFont="1" applyFill="1" applyAlignment="1">
      <alignment horizontal="center"/>
    </xf>
    <xf numFmtId="3" fontId="27" fillId="22" borderId="0" xfId="0" applyNumberFormat="1" applyFont="1" applyFill="1" applyAlignment="1">
      <alignment horizontal="center"/>
    </xf>
    <xf numFmtId="0" fontId="28" fillId="22" borderId="0" xfId="0" applyFont="1" applyFill="1"/>
    <xf numFmtId="176" fontId="28" fillId="22" borderId="0" xfId="0" applyNumberFormat="1" applyFont="1" applyFill="1"/>
    <xf numFmtId="167" fontId="28" fillId="22" borderId="0" xfId="0" applyNumberFormat="1" applyFont="1" applyFill="1" applyAlignment="1">
      <alignment horizontal="center"/>
    </xf>
    <xf numFmtId="0" fontId="0" fillId="24" borderId="0" xfId="0" applyFill="1"/>
    <xf numFmtId="0" fontId="15" fillId="24" borderId="0" xfId="0" applyFont="1" applyFill="1"/>
    <xf numFmtId="0" fontId="9" fillId="24" borderId="0" xfId="0" applyFont="1" applyFill="1"/>
    <xf numFmtId="9" fontId="1" fillId="7" borderId="0" xfId="2" applyFont="1" applyFill="1"/>
    <xf numFmtId="0" fontId="30" fillId="22" borderId="0" xfId="0" applyFont="1" applyFill="1"/>
    <xf numFmtId="171" fontId="0" fillId="24" borderId="0" xfId="0" applyNumberFormat="1" applyFill="1"/>
    <xf numFmtId="172" fontId="0" fillId="24" borderId="0" xfId="0" applyNumberFormat="1" applyFill="1"/>
    <xf numFmtId="173" fontId="0" fillId="24" borderId="0" xfId="0" applyNumberFormat="1" applyFill="1"/>
    <xf numFmtId="174" fontId="0" fillId="24" borderId="0" xfId="0" applyNumberFormat="1" applyFill="1"/>
    <xf numFmtId="0" fontId="0" fillId="25" borderId="0" xfId="0" applyFill="1" applyBorder="1"/>
    <xf numFmtId="0" fontId="0" fillId="22" borderId="0" xfId="0" applyFill="1" applyBorder="1"/>
    <xf numFmtId="0" fontId="4" fillId="22" borderId="0" xfId="0" applyFont="1" applyFill="1" applyBorder="1" applyAlignment="1">
      <alignment horizontal="left" vertical="center"/>
    </xf>
    <xf numFmtId="0" fontId="1" fillId="25" borderId="0" xfId="0" applyFont="1" applyFill="1"/>
    <xf numFmtId="0" fontId="1" fillId="22" borderId="0" xfId="0" applyFont="1" applyFill="1"/>
    <xf numFmtId="181" fontId="27" fillId="22" borderId="0" xfId="0" applyNumberFormat="1" applyFont="1" applyFill="1" applyAlignment="1">
      <alignment horizontal="center"/>
    </xf>
    <xf numFmtId="0" fontId="29" fillId="22" borderId="0" xfId="0" applyFont="1" applyFill="1"/>
    <xf numFmtId="181" fontId="29" fillId="22" borderId="0" xfId="0" applyNumberFormat="1" applyFont="1" applyFill="1" applyAlignment="1">
      <alignment horizontal="center"/>
    </xf>
    <xf numFmtId="180" fontId="27" fillId="22" borderId="0" xfId="0" applyNumberFormat="1" applyFont="1" applyFill="1"/>
    <xf numFmtId="167" fontId="27" fillId="22" borderId="0" xfId="0" applyNumberFormat="1" applyFont="1" applyFill="1"/>
    <xf numFmtId="181" fontId="27" fillId="22" borderId="0" xfId="0" applyNumberFormat="1" applyFont="1" applyFill="1"/>
    <xf numFmtId="0" fontId="36" fillId="22" borderId="0" xfId="0" applyFont="1" applyFill="1"/>
    <xf numFmtId="0" fontId="25" fillId="3" borderId="0" xfId="0" applyFont="1" applyFill="1"/>
    <xf numFmtId="9" fontId="26" fillId="13" borderId="0" xfId="0" applyNumberFormat="1" applyFont="1" applyFill="1" applyAlignment="1">
      <alignment horizontal="center"/>
    </xf>
    <xf numFmtId="176" fontId="39" fillId="13" borderId="0" xfId="0" applyNumberFormat="1" applyFont="1" applyFill="1" applyAlignment="1">
      <alignment horizontal="center"/>
    </xf>
    <xf numFmtId="9" fontId="5" fillId="12" borderId="0" xfId="0" applyNumberFormat="1" applyFont="1" applyFill="1" applyAlignment="1">
      <alignment horizontal="center"/>
    </xf>
    <xf numFmtId="176" fontId="40" fillId="12" borderId="0" xfId="0" applyNumberFormat="1" applyFont="1" applyFill="1" applyAlignment="1">
      <alignment horizontal="center"/>
    </xf>
    <xf numFmtId="9" fontId="26" fillId="14" borderId="0" xfId="0" applyNumberFormat="1" applyFont="1" applyFill="1" applyAlignment="1">
      <alignment horizontal="center"/>
    </xf>
    <xf numFmtId="176" fontId="39" fillId="14" borderId="0" xfId="0" applyNumberFormat="1" applyFont="1" applyFill="1" applyAlignment="1">
      <alignment horizontal="center"/>
    </xf>
    <xf numFmtId="0" fontId="36" fillId="3" borderId="0" xfId="0" applyFont="1" applyFill="1"/>
    <xf numFmtId="169" fontId="35" fillId="23" borderId="0" xfId="0" applyNumberFormat="1" applyFont="1" applyFill="1" applyAlignment="1">
      <alignment horizontal="center"/>
    </xf>
    <xf numFmtId="0" fontId="14" fillId="29" borderId="0" xfId="0" applyFont="1" applyFill="1"/>
    <xf numFmtId="169" fontId="8" fillId="29" borderId="0" xfId="0" applyNumberFormat="1" applyFont="1" applyFill="1"/>
    <xf numFmtId="0" fontId="0" fillId="29" borderId="0" xfId="0" applyFill="1"/>
    <xf numFmtId="0" fontId="1" fillId="24" borderId="0" xfId="0" applyFont="1" applyFill="1"/>
    <xf numFmtId="0" fontId="37" fillId="12" borderId="0" xfId="0" applyFont="1" applyFill="1" applyAlignment="1">
      <alignment horizontal="center"/>
    </xf>
    <xf numFmtId="44" fontId="27" fillId="28" borderId="0" xfId="1" applyFont="1" applyFill="1" applyAlignment="1">
      <alignment horizontal="center"/>
    </xf>
    <xf numFmtId="44" fontId="27" fillId="14" borderId="0" xfId="1" applyFont="1" applyFill="1" applyAlignment="1">
      <alignment horizontal="center"/>
    </xf>
    <xf numFmtId="10" fontId="27" fillId="28" borderId="0" xfId="0" applyNumberFormat="1" applyFont="1" applyFill="1" applyAlignment="1">
      <alignment horizontal="center"/>
    </xf>
    <xf numFmtId="10" fontId="27" fillId="14" borderId="0" xfId="0" applyNumberFormat="1" applyFont="1" applyFill="1" applyAlignment="1">
      <alignment horizontal="center"/>
    </xf>
    <xf numFmtId="0" fontId="41" fillId="12" borderId="0" xfId="0" applyFont="1" applyFill="1" applyAlignment="1">
      <alignment horizontal="left"/>
    </xf>
    <xf numFmtId="44" fontId="38" fillId="22" borderId="0" xfId="1" applyFont="1" applyFill="1" applyAlignment="1">
      <alignment horizontal="left"/>
    </xf>
    <xf numFmtId="0" fontId="27" fillId="17" borderId="0" xfId="0" applyFont="1" applyFill="1" applyAlignment="1">
      <alignment horizontal="center"/>
    </xf>
    <xf numFmtId="0" fontId="27" fillId="22" borderId="0" xfId="0" applyFont="1" applyFill="1" applyAlignment="1">
      <alignment horizontal="center"/>
    </xf>
    <xf numFmtId="0" fontId="7" fillId="30" borderId="0" xfId="0" applyFont="1" applyFill="1" applyAlignment="1">
      <alignment horizontal="left"/>
    </xf>
    <xf numFmtId="0" fontId="7" fillId="30" borderId="0" xfId="0" applyFont="1" applyFill="1" applyAlignment="1">
      <alignment horizontal="center"/>
    </xf>
    <xf numFmtId="0" fontId="28" fillId="22" borderId="0" xfId="0" applyFont="1" applyFill="1" applyAlignment="1">
      <alignment horizontal="right"/>
    </xf>
    <xf numFmtId="165" fontId="9" fillId="7" borderId="0" xfId="0" applyNumberFormat="1" applyFont="1" applyFill="1"/>
    <xf numFmtId="10" fontId="9" fillId="3" borderId="0" xfId="0" applyNumberFormat="1" applyFont="1" applyFill="1"/>
    <xf numFmtId="3" fontId="9" fillId="7" borderId="0" xfId="0" applyNumberFormat="1" applyFont="1" applyFill="1"/>
    <xf numFmtId="3" fontId="9" fillId="3" borderId="0" xfId="0" applyNumberFormat="1" applyFont="1" applyFill="1"/>
    <xf numFmtId="175" fontId="9" fillId="7" borderId="0" xfId="0" applyNumberFormat="1" applyFont="1" applyFill="1"/>
    <xf numFmtId="172" fontId="9" fillId="3" borderId="0" xfId="0" applyNumberFormat="1" applyFont="1" applyFill="1"/>
    <xf numFmtId="0" fontId="7" fillId="15" borderId="0" xfId="0" applyFont="1" applyFill="1"/>
    <xf numFmtId="0" fontId="7" fillId="27" borderId="0" xfId="0" applyFont="1" applyFill="1"/>
    <xf numFmtId="0" fontId="7" fillId="27" borderId="0" xfId="0" applyFont="1" applyFill="1" applyAlignment="1">
      <alignment horizontal="center"/>
    </xf>
    <xf numFmtId="0" fontId="16" fillId="31" borderId="0" xfId="0" applyFont="1" applyFill="1"/>
    <xf numFmtId="167" fontId="8" fillId="31" borderId="0" xfId="0" applyNumberFormat="1" applyFont="1" applyFill="1"/>
    <xf numFmtId="0" fontId="16" fillId="14" borderId="0" xfId="0" applyFont="1" applyFill="1"/>
    <xf numFmtId="169" fontId="8" fillId="14" borderId="0" xfId="0" applyNumberFormat="1" applyFont="1" applyFill="1"/>
    <xf numFmtId="0" fontId="13" fillId="14" borderId="0" xfId="0" applyFont="1" applyFill="1"/>
    <xf numFmtId="176" fontId="1" fillId="14" borderId="0" xfId="0" applyNumberFormat="1" applyFont="1" applyFill="1"/>
    <xf numFmtId="0" fontId="14" fillId="23" borderId="0" xfId="0" applyFont="1" applyFill="1"/>
    <xf numFmtId="169" fontId="8" fillId="23" borderId="0" xfId="0" applyNumberFormat="1" applyFont="1" applyFill="1"/>
    <xf numFmtId="0" fontId="13" fillId="14" borderId="12" xfId="0" applyFont="1" applyFill="1" applyBorder="1"/>
    <xf numFmtId="176" fontId="1" fillId="14" borderId="13" xfId="0" applyNumberFormat="1" applyFont="1" applyFill="1" applyBorder="1"/>
    <xf numFmtId="0" fontId="13" fillId="26" borderId="14" xfId="0" applyFont="1" applyFill="1" applyBorder="1"/>
    <xf numFmtId="176" fontId="1" fillId="26" borderId="15" xfId="0" applyNumberFormat="1" applyFont="1" applyFill="1" applyBorder="1"/>
    <xf numFmtId="0" fontId="16" fillId="31" borderId="14" xfId="0" applyFont="1" applyFill="1" applyBorder="1"/>
    <xf numFmtId="176" fontId="10" fillId="31" borderId="15" xfId="0" applyNumberFormat="1" applyFont="1" applyFill="1" applyBorder="1"/>
    <xf numFmtId="0" fontId="13" fillId="14" borderId="14" xfId="0" applyFont="1" applyFill="1" applyBorder="1"/>
    <xf numFmtId="176" fontId="1" fillId="14" borderId="15" xfId="0" applyNumberFormat="1" applyFont="1" applyFill="1" applyBorder="1"/>
    <xf numFmtId="0" fontId="16" fillId="31" borderId="16" xfId="0" applyFont="1" applyFill="1" applyBorder="1"/>
    <xf numFmtId="176" fontId="10" fillId="31" borderId="17" xfId="0" applyNumberFormat="1" applyFont="1" applyFill="1" applyBorder="1"/>
    <xf numFmtId="176" fontId="10" fillId="31" borderId="0" xfId="0" applyNumberFormat="1" applyFont="1" applyFill="1"/>
    <xf numFmtId="0" fontId="17" fillId="24" borderId="0" xfId="0" applyFont="1" applyFill="1"/>
    <xf numFmtId="9" fontId="17" fillId="24" borderId="0" xfId="0" applyNumberFormat="1" applyFont="1" applyFill="1"/>
    <xf numFmtId="167" fontId="1" fillId="26" borderId="0" xfId="0" applyNumberFormat="1" applyFont="1" applyFill="1"/>
    <xf numFmtId="167" fontId="42" fillId="26" borderId="0" xfId="0" applyNumberFormat="1" applyFont="1" applyFill="1"/>
    <xf numFmtId="167" fontId="27" fillId="22" borderId="0" xfId="0" applyNumberFormat="1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5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F9E6"/>
      <rgbColor rgb="FFEBF1F8"/>
      <rgbColor rgb="FF0000FF"/>
      <rgbColor rgb="FFFFFF00"/>
      <rgbColor rgb="FFEEF2F7"/>
      <rgbColor rgb="FFD9E1F2"/>
      <rgbColor rgb="FF9C0006"/>
      <rgbColor rgb="FF006100"/>
      <rgbColor rgb="FF1E3A5F"/>
      <rgbColor rgb="FF856404"/>
      <rgbColor rgb="FFF0F4FA"/>
      <rgbColor rgb="FF1C6526"/>
      <rgbColor rgb="FFBFBFBF"/>
      <rgbColor rgb="FF838482"/>
      <rgbColor rgb="FF91A3BC"/>
      <rgbColor rgb="FF585858"/>
      <rgbColor rgb="FFFFF3CD"/>
      <rgbColor rgb="FFD4EDDA"/>
      <rgbColor rgb="FFF5F8FF"/>
      <rgbColor rgb="FFCCCCCC"/>
      <rgbColor rgb="FF194E83"/>
      <rgbColor rgb="FFC8D6E5"/>
      <rgbColor rgb="FFF8FAFC"/>
      <rgbColor rgb="FFEBF3FF"/>
      <rgbColor rgb="FFFFF2CC"/>
      <rgbColor rgb="FFE2E8F0"/>
      <rgbColor rgb="FFEFF6FF"/>
      <rgbColor rgb="FF721C24"/>
      <rgbColor rgb="FF1F4E79"/>
      <rgbColor rgb="FFF0FDF4"/>
      <rgbColor rgb="FFD8E2EE"/>
      <rgbColor rgb="FFD5EDDA"/>
      <rgbColor rgb="FFC6EFCE"/>
      <rgbColor rgb="FFFFEB9C"/>
      <rgbColor rgb="FFCBD5E1"/>
      <rgbColor rgb="FFF8D7DA"/>
      <rgbColor rgb="FFAAAAAA"/>
      <rgbColor rgb="FFFFC7CE"/>
      <rgbColor rgb="FF2E75B9"/>
      <rgbColor rgb="FFD6E4F0"/>
      <rgbColor rgb="FFC3E6CB"/>
      <rgbColor rgb="FFE8E8E8"/>
      <rgbColor rgb="FFEEA222"/>
      <rgbColor rgb="FFB46500"/>
      <rgbColor rgb="FF676B73"/>
      <rgbColor rgb="FF888888"/>
      <rgbColor rgb="FF002060"/>
      <rgbColor rgb="FF155724"/>
      <rgbColor rgb="FF0F172A"/>
      <rgbColor rgb="FF1A3A5C"/>
      <rgbColor rgb="FF6E5500"/>
      <rgbColor rgb="FF34495E"/>
      <rgbColor rgb="FF1F3864"/>
      <rgbColor rgb="FF30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C5F33E-D41C-ED46-967C-9461CBBF86D7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0"/>
  <sheetViews>
    <sheetView tabSelected="1" topLeftCell="A3" zoomScale="150" zoomScaleNormal="170" workbookViewId="0">
      <selection activeCell="B5" sqref="B5"/>
    </sheetView>
    <sheetView topLeftCell="A14" workbookViewId="1">
      <selection activeCell="C35" sqref="C35"/>
    </sheetView>
  </sheetViews>
  <sheetFormatPr baseColWidth="10" defaultColWidth="10.6640625" defaultRowHeight="15.75" customHeight="1" x14ac:dyDescent="0.2"/>
  <cols>
    <col min="1" max="1" width="3.5" style="201" customWidth="1"/>
    <col min="2" max="2" width="32.5" style="201" customWidth="1"/>
    <col min="3" max="3" width="18.33203125" style="201" customWidth="1"/>
    <col min="4" max="5" width="8.33203125" style="201" customWidth="1"/>
    <col min="6" max="6" width="15.83203125" style="201" customWidth="1"/>
    <col min="7" max="7" width="10.83203125" style="201" customWidth="1"/>
    <col min="8" max="8" width="11.6640625" style="201" customWidth="1"/>
    <col min="9" max="9" width="15.83203125" style="201" customWidth="1"/>
    <col min="10" max="12" width="8.33203125" style="201" customWidth="1"/>
    <col min="13" max="16384" width="10.6640625" style="201"/>
  </cols>
  <sheetData>
    <row r="1" spans="2:9" ht="26" customHeight="1" x14ac:dyDescent="0.2">
      <c r="B1" s="200" t="s">
        <v>0</v>
      </c>
    </row>
    <row r="2" spans="2:9" ht="21.75" customHeight="1" x14ac:dyDescent="0.2"/>
    <row r="3" spans="2:9" ht="16" x14ac:dyDescent="0.2">
      <c r="B3" s="202" t="s">
        <v>1</v>
      </c>
      <c r="C3" s="203" t="s">
        <v>2</v>
      </c>
    </row>
    <row r="4" spans="2:9" ht="14" customHeight="1" x14ac:dyDescent="0.2">
      <c r="B4" s="202" t="s">
        <v>3</v>
      </c>
      <c r="C4" s="203" t="s">
        <v>4</v>
      </c>
    </row>
    <row r="5" spans="2:9" ht="15" customHeight="1" x14ac:dyDescent="0.2"/>
    <row r="6" spans="2:9" ht="17" customHeight="1" x14ac:dyDescent="0.2">
      <c r="B6" s="130" t="s">
        <v>5</v>
      </c>
      <c r="C6" s="130"/>
      <c r="D6" s="130"/>
      <c r="E6" s="130"/>
      <c r="F6" s="130" t="s">
        <v>6</v>
      </c>
      <c r="G6" s="130"/>
      <c r="H6" s="130"/>
      <c r="I6" s="130"/>
    </row>
    <row r="7" spans="2:9" ht="15" customHeight="1" x14ac:dyDescent="0.2">
      <c r="B7" s="204" t="s">
        <v>7</v>
      </c>
      <c r="C7" s="205">
        <v>2400000</v>
      </c>
      <c r="F7" s="204" t="s">
        <v>8</v>
      </c>
      <c r="G7" s="206">
        <f>IFERROR(C7/C12,"")</f>
        <v>120000</v>
      </c>
    </row>
    <row r="8" spans="2:9" ht="15" customHeight="1" x14ac:dyDescent="0.2">
      <c r="B8" s="204" t="s">
        <v>9</v>
      </c>
      <c r="C8" s="207">
        <v>0.02</v>
      </c>
      <c r="F8" s="204" t="s">
        <v>10</v>
      </c>
      <c r="G8" s="206">
        <f>IFERROR(C10/C12,"")</f>
        <v>12500</v>
      </c>
    </row>
    <row r="9" spans="2:9" ht="15" customHeight="1" x14ac:dyDescent="0.2">
      <c r="B9" s="204" t="s">
        <v>11</v>
      </c>
      <c r="C9" s="206">
        <f>C7*C8</f>
        <v>48000</v>
      </c>
      <c r="F9" s="204" t="s">
        <v>12</v>
      </c>
      <c r="G9" s="208">
        <f>C11</f>
        <v>2698000</v>
      </c>
    </row>
    <row r="10" spans="2:9" ht="15" customHeight="1" x14ac:dyDescent="0.2">
      <c r="B10" s="204" t="s">
        <v>13</v>
      </c>
      <c r="C10" s="205">
        <v>250000</v>
      </c>
    </row>
    <row r="11" spans="2:9" ht="15" customHeight="1" x14ac:dyDescent="0.2">
      <c r="B11" s="202" t="s">
        <v>14</v>
      </c>
      <c r="C11" s="208">
        <f>C7+C9+C10</f>
        <v>2698000</v>
      </c>
    </row>
    <row r="12" spans="2:9" ht="15" customHeight="1" x14ac:dyDescent="0.2">
      <c r="B12" s="204" t="s">
        <v>15</v>
      </c>
      <c r="C12" s="203">
        <v>20</v>
      </c>
    </row>
    <row r="13" spans="2:9" ht="19.5" customHeight="1" x14ac:dyDescent="0.2"/>
    <row r="14" spans="2:9" ht="17" customHeight="1" x14ac:dyDescent="0.2">
      <c r="B14" s="130" t="s">
        <v>16</v>
      </c>
      <c r="C14" s="130"/>
      <c r="D14" s="130"/>
      <c r="E14" s="130"/>
      <c r="F14" s="130"/>
      <c r="G14" s="130"/>
      <c r="H14" s="130"/>
      <c r="I14" s="130"/>
    </row>
    <row r="15" spans="2:9" ht="16" customHeight="1" x14ac:dyDescent="0.2">
      <c r="B15" s="127" t="s">
        <v>17</v>
      </c>
      <c r="C15" s="127" t="s">
        <v>18</v>
      </c>
      <c r="D15" s="127" t="s">
        <v>19</v>
      </c>
      <c r="E15" s="127" t="s">
        <v>20</v>
      </c>
      <c r="F15" s="127" t="s">
        <v>21</v>
      </c>
      <c r="G15" s="127" t="s">
        <v>22</v>
      </c>
      <c r="H15" s="127" t="s">
        <v>23</v>
      </c>
      <c r="I15" s="127" t="s">
        <v>24</v>
      </c>
    </row>
    <row r="16" spans="2:9" ht="15" customHeight="1" x14ac:dyDescent="0.2">
      <c r="B16" s="155" t="s">
        <v>25</v>
      </c>
      <c r="C16" s="156">
        <v>0</v>
      </c>
      <c r="D16" s="156">
        <v>1</v>
      </c>
      <c r="E16" s="256">
        <f>IF(B16&lt;&gt;"",IFERROR(C12/COUNTA(B16:B20),0),"")</f>
        <v>6.666666666666667</v>
      </c>
      <c r="F16" s="132">
        <f>IFERROR(AVERAGEIFS('Raw Comps'!$I$4:$I$871,'Raw Comps'!$J$4:$J$871,C16,'Raw Comps'!$K$4:$K$871,D16),"")</f>
        <v>1172.3599999999999</v>
      </c>
      <c r="G16" s="133">
        <f>IFERROR(AVERAGEIFS('Raw Comps'!$L$4:$L$871,'Raw Comps'!$J$4:$J$871,C16,'Raw Comps'!$K$4:$K$871,D16),"")</f>
        <v>419.84</v>
      </c>
      <c r="H16" s="133">
        <f>IFERROR(G16*E16,"")</f>
        <v>2798.9333333333334</v>
      </c>
      <c r="I16" s="132">
        <f>IFERROR(F16*E16*12,"")</f>
        <v>93788.799999999988</v>
      </c>
    </row>
    <row r="17" spans="2:9" ht="15" customHeight="1" x14ac:dyDescent="0.2">
      <c r="B17" s="203" t="s">
        <v>26</v>
      </c>
      <c r="C17" s="209">
        <v>1</v>
      </c>
      <c r="D17" s="209">
        <v>1</v>
      </c>
      <c r="E17" s="257">
        <f>IF(B17&lt;&gt;"",IFERROR(C12/COUNTA(B16:B20),0),"")</f>
        <v>6.666666666666667</v>
      </c>
      <c r="F17" s="210">
        <f>IFERROR(AVERAGEIFS('Raw Comps'!$I$4:$I$871,'Raw Comps'!$J$4:$J$871,C17,'Raw Comps'!$K$4:$K$871,D17),"")</f>
        <v>1369.34</v>
      </c>
      <c r="G17" s="211">
        <f>IFERROR(AVERAGEIFS('Raw Comps'!$L$4:$L$871,'Raw Comps'!$J$4:$J$871,C17,'Raw Comps'!$K$4:$K$871,D17),"")</f>
        <v>681.36</v>
      </c>
      <c r="H17" s="211">
        <f>IFERROR(G17*E17,"")</f>
        <v>4542.4000000000005</v>
      </c>
      <c r="I17" s="210">
        <f>IFERROR(F17*E17*12,"")</f>
        <v>109547.19999999998</v>
      </c>
    </row>
    <row r="18" spans="2:9" ht="15" customHeight="1" x14ac:dyDescent="0.2">
      <c r="B18" s="155" t="s">
        <v>27</v>
      </c>
      <c r="C18" s="156">
        <v>2</v>
      </c>
      <c r="D18" s="156">
        <v>2</v>
      </c>
      <c r="E18" s="256">
        <f>IF(B18&lt;&gt;"",IFERROR(C12/COUNTA(B16:B20),0),"")</f>
        <v>6.666666666666667</v>
      </c>
      <c r="F18" s="132">
        <f>IFERROR(AVERAGEIFS('Raw Comps'!$I$4:$I$871,'Raw Comps'!$J$4:$J$871,C18,'Raw Comps'!$K$4:$K$871,D18),"")</f>
        <v>2266.6999999999998</v>
      </c>
      <c r="G18" s="133">
        <f>IFERROR(AVERAGEIFS('Raw Comps'!$L$4:$L$871,'Raw Comps'!$J$4:$J$871,C18,'Raw Comps'!$K$4:$K$871,D18),"")</f>
        <v>1090.74</v>
      </c>
      <c r="H18" s="133">
        <f>IFERROR(G18*E18,"")</f>
        <v>7271.6</v>
      </c>
      <c r="I18" s="132">
        <f>IFERROR(F18*E18*12,"")</f>
        <v>181336</v>
      </c>
    </row>
    <row r="19" spans="2:9" ht="15" customHeight="1" x14ac:dyDescent="0.2">
      <c r="B19" s="212"/>
    </row>
    <row r="20" spans="2:9" ht="15" customHeight="1" x14ac:dyDescent="0.2">
      <c r="B20" s="131"/>
      <c r="C20" s="134"/>
      <c r="D20" s="134"/>
      <c r="E20" s="134"/>
      <c r="F20" s="134"/>
      <c r="G20" s="134"/>
      <c r="H20" s="134"/>
      <c r="I20" s="134"/>
    </row>
    <row r="21" spans="2:9" ht="15" customHeight="1" x14ac:dyDescent="0.2">
      <c r="B21" s="135" t="s">
        <v>28</v>
      </c>
      <c r="C21" s="135"/>
      <c r="D21" s="135"/>
      <c r="E21" s="136">
        <f>SUM(E16:E20)</f>
        <v>20</v>
      </c>
      <c r="F21" s="137">
        <f>IFERROR(SUMPRODUCT(F16:F20,E16:E20)/SUM(E16:E20),"")</f>
        <v>1602.7999999999997</v>
      </c>
      <c r="G21" s="135"/>
      <c r="H21" s="138">
        <f>SUM(H16:H20)</f>
        <v>14612.933333333334</v>
      </c>
      <c r="I21" s="137">
        <f>SUM(I16:I20)</f>
        <v>384672</v>
      </c>
    </row>
    <row r="22" spans="2:9" ht="14" customHeight="1" x14ac:dyDescent="0.2">
      <c r="B22" s="204" t="s">
        <v>29</v>
      </c>
      <c r="C22" s="206">
        <f>I21</f>
        <v>384672</v>
      </c>
    </row>
    <row r="23" spans="2:9" ht="18" customHeight="1" x14ac:dyDescent="0.2"/>
    <row r="24" spans="2:9" ht="17" customHeight="1" x14ac:dyDescent="0.2">
      <c r="B24" s="130" t="s">
        <v>30</v>
      </c>
      <c r="C24" s="130"/>
      <c r="D24" s="130"/>
      <c r="E24" s="130"/>
      <c r="F24" s="130"/>
      <c r="G24" s="130"/>
      <c r="H24" s="130"/>
    </row>
    <row r="25" spans="2:9" ht="15" customHeight="1" x14ac:dyDescent="0.2">
      <c r="B25" s="204" t="s">
        <v>31</v>
      </c>
      <c r="C25" s="207">
        <v>7.0000000000000007E-2</v>
      </c>
    </row>
    <row r="26" spans="2:9" ht="15" customHeight="1" x14ac:dyDescent="0.2">
      <c r="B26" s="204" t="s">
        <v>32</v>
      </c>
      <c r="C26" s="213">
        <v>75</v>
      </c>
    </row>
    <row r="27" spans="2:9" ht="21.75" customHeight="1" x14ac:dyDescent="0.2"/>
    <row r="28" spans="2:9" ht="17" customHeight="1" x14ac:dyDescent="0.2">
      <c r="B28" s="130" t="s">
        <v>33</v>
      </c>
      <c r="C28" s="130"/>
      <c r="D28" s="130"/>
      <c r="E28" s="130"/>
      <c r="F28" s="130"/>
      <c r="G28" s="130"/>
      <c r="H28" s="130"/>
    </row>
    <row r="29" spans="2:9" ht="15" customHeight="1" x14ac:dyDescent="0.2">
      <c r="B29" s="204" t="s">
        <v>34</v>
      </c>
      <c r="C29" s="207">
        <v>0.35</v>
      </c>
    </row>
    <row r="30" spans="2:9" ht="15" customHeight="1" x14ac:dyDescent="0.2">
      <c r="B30" s="204" t="s">
        <v>35</v>
      </c>
      <c r="C30" s="207">
        <v>0.03</v>
      </c>
    </row>
    <row r="31" spans="2:9" ht="21.75" customHeight="1" x14ac:dyDescent="0.2"/>
    <row r="32" spans="2:9" ht="17" customHeight="1" x14ac:dyDescent="0.2">
      <c r="B32" s="130" t="s">
        <v>36</v>
      </c>
      <c r="C32" s="130"/>
      <c r="D32" s="130"/>
      <c r="E32" s="130"/>
      <c r="F32" s="130"/>
      <c r="G32" s="130"/>
      <c r="H32" s="130"/>
    </row>
    <row r="33" spans="2:8" ht="15" customHeight="1" x14ac:dyDescent="0.2">
      <c r="B33" s="204" t="s">
        <v>37</v>
      </c>
      <c r="C33" s="260" t="s">
        <v>38</v>
      </c>
    </row>
    <row r="34" spans="2:8" ht="15" customHeight="1" x14ac:dyDescent="0.2">
      <c r="B34" s="204" t="s">
        <v>39</v>
      </c>
      <c r="C34" s="207">
        <v>0.7</v>
      </c>
    </row>
    <row r="35" spans="2:8" ht="15" customHeight="1" x14ac:dyDescent="0.2">
      <c r="B35" s="204" t="s">
        <v>40</v>
      </c>
      <c r="C35" s="206">
        <f>C7*C34</f>
        <v>1680000</v>
      </c>
    </row>
    <row r="36" spans="2:8" ht="15" customHeight="1" x14ac:dyDescent="0.2">
      <c r="B36" s="204" t="s">
        <v>41</v>
      </c>
      <c r="C36" s="207">
        <v>6.5000000000000002E-2</v>
      </c>
    </row>
    <row r="37" spans="2:8" ht="15" customHeight="1" x14ac:dyDescent="0.2">
      <c r="B37" s="204" t="s">
        <v>42</v>
      </c>
      <c r="C37" s="212">
        <v>24</v>
      </c>
    </row>
    <row r="38" spans="2:8" ht="15" customHeight="1" x14ac:dyDescent="0.2">
      <c r="B38" s="204" t="s">
        <v>43</v>
      </c>
      <c r="C38" s="212">
        <v>30</v>
      </c>
    </row>
    <row r="39" spans="2:8" ht="15" customHeight="1" x14ac:dyDescent="0.2">
      <c r="B39" s="204" t="s">
        <v>44</v>
      </c>
      <c r="C39" s="212">
        <v>10</v>
      </c>
    </row>
    <row r="40" spans="2:8" ht="15" customHeight="1" x14ac:dyDescent="0.2">
      <c r="B40" s="204" t="s">
        <v>45</v>
      </c>
      <c r="C40" s="207">
        <v>0.01</v>
      </c>
    </row>
    <row r="41" spans="2:8" ht="15" customHeight="1" x14ac:dyDescent="0.2">
      <c r="B41" s="204" t="s">
        <v>46</v>
      </c>
      <c r="C41" s="206">
        <f>C35*C40</f>
        <v>16800</v>
      </c>
    </row>
    <row r="42" spans="2:8" ht="21.75" customHeight="1" x14ac:dyDescent="0.2"/>
    <row r="43" spans="2:8" ht="17" customHeight="1" x14ac:dyDescent="0.2">
      <c r="B43" s="130" t="s">
        <v>47</v>
      </c>
      <c r="C43" s="130"/>
      <c r="D43" s="130"/>
      <c r="E43" s="130"/>
      <c r="F43" s="130"/>
      <c r="G43" s="130"/>
      <c r="H43" s="130"/>
    </row>
    <row r="44" spans="2:8" ht="15" customHeight="1" x14ac:dyDescent="0.2">
      <c r="B44" s="204" t="s">
        <v>48</v>
      </c>
      <c r="C44" s="212">
        <v>5</v>
      </c>
    </row>
    <row r="45" spans="2:8" ht="15" customHeight="1" x14ac:dyDescent="0.2">
      <c r="B45" s="204" t="s">
        <v>49</v>
      </c>
      <c r="C45" s="207">
        <v>7.0000000000000007E-2</v>
      </c>
    </row>
    <row r="46" spans="2:8" ht="15" customHeight="1" x14ac:dyDescent="0.2">
      <c r="B46" s="204" t="s">
        <v>50</v>
      </c>
      <c r="C46" s="207">
        <v>0.04</v>
      </c>
    </row>
    <row r="47" spans="2:8" ht="18" customHeight="1" x14ac:dyDescent="0.2"/>
    <row r="48" spans="2:8" ht="17" customHeight="1" x14ac:dyDescent="0.2">
      <c r="B48" s="130" t="s">
        <v>51</v>
      </c>
      <c r="C48" s="130"/>
      <c r="D48" s="130"/>
      <c r="E48" s="130"/>
      <c r="F48" s="130"/>
      <c r="G48" s="130"/>
      <c r="H48" s="130"/>
    </row>
    <row r="49" spans="2:12" ht="15" customHeight="1" x14ac:dyDescent="0.2">
      <c r="B49" s="204" t="s">
        <v>52</v>
      </c>
      <c r="C49" s="207">
        <v>0.1</v>
      </c>
    </row>
    <row r="50" spans="2:12" ht="15" customHeight="1" x14ac:dyDescent="0.2">
      <c r="B50" s="204" t="s">
        <v>53</v>
      </c>
      <c r="C50" s="207">
        <v>0.08</v>
      </c>
    </row>
    <row r="51" spans="2:12" ht="15" customHeight="1" x14ac:dyDescent="0.2">
      <c r="B51" s="204" t="s">
        <v>54</v>
      </c>
      <c r="C51" s="207">
        <v>0.2</v>
      </c>
    </row>
    <row r="52" spans="2:12" ht="18" customHeight="1" x14ac:dyDescent="0.2"/>
    <row r="53" spans="2:12" ht="17" customHeight="1" x14ac:dyDescent="0.2">
      <c r="B53" s="130" t="s">
        <v>55</v>
      </c>
      <c r="C53" s="130"/>
      <c r="D53" s="130"/>
      <c r="E53" s="130"/>
      <c r="F53" s="130"/>
      <c r="G53" s="130"/>
      <c r="H53" s="130"/>
      <c r="I53" s="130"/>
      <c r="J53" s="130"/>
      <c r="K53" s="130"/>
      <c r="L53" s="130"/>
    </row>
    <row r="54" spans="2:12" ht="15" customHeight="1" x14ac:dyDescent="0.2">
      <c r="B54" s="127"/>
      <c r="C54" s="127" t="s">
        <v>56</v>
      </c>
      <c r="D54" s="127" t="s">
        <v>57</v>
      </c>
      <c r="E54" s="127" t="s">
        <v>58</v>
      </c>
      <c r="F54" s="127" t="s">
        <v>59</v>
      </c>
      <c r="G54" s="127" t="s">
        <v>60</v>
      </c>
      <c r="H54" s="127" t="s">
        <v>61</v>
      </c>
      <c r="I54" s="127" t="s">
        <v>62</v>
      </c>
      <c r="J54" s="127" t="s">
        <v>63</v>
      </c>
      <c r="K54" s="127" t="s">
        <v>64</v>
      </c>
      <c r="L54" s="127" t="s">
        <v>65</v>
      </c>
    </row>
    <row r="55" spans="2:12" ht="15" customHeight="1" x14ac:dyDescent="0.2">
      <c r="B55" s="204" t="s">
        <v>66</v>
      </c>
      <c r="C55" s="214">
        <v>0.03</v>
      </c>
      <c r="D55" s="214">
        <v>0.03</v>
      </c>
      <c r="E55" s="214">
        <v>2.5000000000000001E-2</v>
      </c>
      <c r="F55" s="214">
        <v>2.5000000000000001E-2</v>
      </c>
      <c r="G55" s="214">
        <v>2.5000000000000001E-2</v>
      </c>
      <c r="H55" s="214">
        <v>0.02</v>
      </c>
      <c r="I55" s="214">
        <v>0.02</v>
      </c>
      <c r="J55" s="214">
        <v>0.02</v>
      </c>
      <c r="K55" s="214">
        <v>0.02</v>
      </c>
      <c r="L55" s="214">
        <v>0.02</v>
      </c>
    </row>
    <row r="56" spans="2:12" ht="18" customHeight="1" x14ac:dyDescent="0.2"/>
    <row r="57" spans="2:12" ht="17" customHeight="1" x14ac:dyDescent="0.2">
      <c r="B57" s="130" t="s">
        <v>67</v>
      </c>
      <c r="C57" s="130"/>
      <c r="D57" s="130"/>
      <c r="E57" s="130"/>
      <c r="F57" s="130"/>
      <c r="G57" s="130"/>
      <c r="H57" s="130"/>
    </row>
    <row r="58" spans="2:12" ht="15" customHeight="1" x14ac:dyDescent="0.2">
      <c r="B58" s="202" t="s">
        <v>68</v>
      </c>
      <c r="C58" s="208">
        <f>C11-C35+C41</f>
        <v>1034800</v>
      </c>
    </row>
    <row r="59" spans="2:12" ht="15" customHeight="1" x14ac:dyDescent="0.2">
      <c r="B59" s="204" t="s">
        <v>69</v>
      </c>
      <c r="C59" s="206">
        <f>C58*C49</f>
        <v>103480</v>
      </c>
    </row>
    <row r="60" spans="2:12" ht="15" customHeight="1" x14ac:dyDescent="0.2">
      <c r="B60" s="204" t="s">
        <v>70</v>
      </c>
      <c r="C60" s="206">
        <f>C58-C59</f>
        <v>931320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81"/>
  <sheetViews>
    <sheetView zoomScale="116" zoomScaleNormal="150" workbookViewId="0">
      <selection activeCell="E73" sqref="E73"/>
    </sheetView>
    <sheetView tabSelected="1" topLeftCell="A39" workbookViewId="1"/>
  </sheetViews>
  <sheetFormatPr baseColWidth="10" defaultColWidth="10.6640625" defaultRowHeight="15.75" customHeight="1" x14ac:dyDescent="0.2"/>
  <cols>
    <col min="1" max="1" width="2.33203125" style="201" customWidth="1"/>
    <col min="2" max="2" width="36.6640625" style="201" customWidth="1"/>
    <col min="3" max="14" width="16.6640625" style="201" customWidth="1"/>
    <col min="15" max="18" width="10.6640625" style="201"/>
    <col min="19" max="19" width="0" style="201" hidden="1" customWidth="1"/>
    <col min="20" max="16384" width="10.6640625" style="201"/>
  </cols>
  <sheetData>
    <row r="1" spans="2:15" ht="15" customHeight="1" x14ac:dyDescent="0.2"/>
    <row r="2" spans="2:15" ht="21" x14ac:dyDescent="0.25">
      <c r="B2" s="16" t="s">
        <v>71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5" ht="15.75" customHeight="1" x14ac:dyDescent="0.2">
      <c r="B3" s="18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215"/>
    </row>
    <row r="4" spans="2:15" ht="21.75" customHeight="1" x14ac:dyDescent="0.2">
      <c r="B4" s="258"/>
      <c r="C4" s="259" t="s">
        <v>72</v>
      </c>
      <c r="D4" s="259" t="s">
        <v>73</v>
      </c>
      <c r="E4" s="259" t="s">
        <v>74</v>
      </c>
      <c r="F4" s="259" t="s">
        <v>75</v>
      </c>
      <c r="G4" s="259" t="s">
        <v>76</v>
      </c>
      <c r="H4" s="259" t="s">
        <v>77</v>
      </c>
      <c r="I4" s="259" t="s">
        <v>78</v>
      </c>
      <c r="J4" s="259" t="s">
        <v>79</v>
      </c>
      <c r="K4" s="259" t="s">
        <v>80</v>
      </c>
      <c r="L4" s="259" t="s">
        <v>81</v>
      </c>
      <c r="M4" s="259" t="s">
        <v>82</v>
      </c>
      <c r="N4" s="259" t="s">
        <v>83</v>
      </c>
      <c r="O4" s="215"/>
    </row>
    <row r="5" spans="2:15" ht="21.75" customHeight="1" x14ac:dyDescent="0.2">
      <c r="B5" s="19" t="s">
        <v>84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15"/>
    </row>
    <row r="6" spans="2:15" ht="18" customHeight="1" x14ac:dyDescent="0.2">
      <c r="B6" s="20" t="s">
        <v>85</v>
      </c>
      <c r="C6" s="21">
        <f>Assumptions!C22</f>
        <v>384672</v>
      </c>
      <c r="D6" s="21">
        <f>$C$6</f>
        <v>384672</v>
      </c>
      <c r="E6" s="21">
        <f t="shared" ref="E6:N6" si="0">D6*(1+E7)</f>
        <v>396212.16000000003</v>
      </c>
      <c r="F6" s="21">
        <f t="shared" si="0"/>
        <v>408098.52480000007</v>
      </c>
      <c r="G6" s="21">
        <f t="shared" si="0"/>
        <v>418300.98792000004</v>
      </c>
      <c r="H6" s="21">
        <f t="shared" si="0"/>
        <v>428758.51261799998</v>
      </c>
      <c r="I6" s="21">
        <f t="shared" si="0"/>
        <v>439477.47543344996</v>
      </c>
      <c r="J6" s="21">
        <f t="shared" si="0"/>
        <v>448267.02494211897</v>
      </c>
      <c r="K6" s="21">
        <f t="shared" si="0"/>
        <v>457232.36544096138</v>
      </c>
      <c r="L6" s="21">
        <f t="shared" si="0"/>
        <v>466377.01274978061</v>
      </c>
      <c r="M6" s="21">
        <f t="shared" si="0"/>
        <v>475704.55300477624</v>
      </c>
      <c r="N6" s="21">
        <f t="shared" si="0"/>
        <v>485218.64406487177</v>
      </c>
      <c r="O6" s="215"/>
    </row>
    <row r="7" spans="2:15" ht="18" customHeight="1" x14ac:dyDescent="0.2">
      <c r="B7" s="22" t="s">
        <v>86</v>
      </c>
      <c r="C7" s="22"/>
      <c r="D7" s="22"/>
      <c r="E7" s="23">
        <f>Assumptions!C55</f>
        <v>0.03</v>
      </c>
      <c r="F7" s="23">
        <f>Assumptions!D55</f>
        <v>0.03</v>
      </c>
      <c r="G7" s="23">
        <f>Assumptions!E55</f>
        <v>2.5000000000000001E-2</v>
      </c>
      <c r="H7" s="23">
        <f>Assumptions!F55</f>
        <v>2.5000000000000001E-2</v>
      </c>
      <c r="I7" s="23">
        <f>Assumptions!G55</f>
        <v>2.5000000000000001E-2</v>
      </c>
      <c r="J7" s="23">
        <f>Assumptions!H55</f>
        <v>0.02</v>
      </c>
      <c r="K7" s="23">
        <f>Assumptions!I55</f>
        <v>0.02</v>
      </c>
      <c r="L7" s="23">
        <f>Assumptions!J55</f>
        <v>0.02</v>
      </c>
      <c r="M7" s="23">
        <f>Assumptions!K55</f>
        <v>0.02</v>
      </c>
      <c r="N7" s="23">
        <f>Assumptions!L55</f>
        <v>0.02</v>
      </c>
      <c r="O7" s="215"/>
    </row>
    <row r="8" spans="2:15" ht="18" customHeight="1" x14ac:dyDescent="0.2">
      <c r="B8" s="20" t="s">
        <v>87</v>
      </c>
      <c r="C8" s="21">
        <f>Assumptions!C12*Assumptions!C26*12</f>
        <v>18000</v>
      </c>
      <c r="D8" s="21">
        <f>$C$8</f>
        <v>18000</v>
      </c>
      <c r="E8" s="21">
        <f t="shared" ref="E8:N8" si="1">D8*(1+E7)</f>
        <v>18540</v>
      </c>
      <c r="F8" s="21">
        <f t="shared" si="1"/>
        <v>19096.2</v>
      </c>
      <c r="G8" s="21">
        <f t="shared" si="1"/>
        <v>19573.605</v>
      </c>
      <c r="H8" s="21">
        <f t="shared" si="1"/>
        <v>20062.945124999998</v>
      </c>
      <c r="I8" s="21">
        <f t="shared" si="1"/>
        <v>20564.518753124998</v>
      </c>
      <c r="J8" s="21">
        <f t="shared" si="1"/>
        <v>20975.809128187499</v>
      </c>
      <c r="K8" s="21">
        <f t="shared" si="1"/>
        <v>21395.32531075125</v>
      </c>
      <c r="L8" s="21">
        <f t="shared" si="1"/>
        <v>21823.231816966276</v>
      </c>
      <c r="M8" s="21">
        <f t="shared" si="1"/>
        <v>22259.696453305602</v>
      </c>
      <c r="N8" s="21">
        <f t="shared" si="1"/>
        <v>22704.890382371716</v>
      </c>
      <c r="O8" s="215"/>
    </row>
    <row r="9" spans="2:15" ht="18" customHeight="1" x14ac:dyDescent="0.2">
      <c r="B9" s="24" t="s">
        <v>88</v>
      </c>
      <c r="C9" s="24"/>
      <c r="D9" s="25">
        <f t="shared" ref="D9:N9" si="2">D6+D8</f>
        <v>402672</v>
      </c>
      <c r="E9" s="25">
        <f t="shared" si="2"/>
        <v>414752.16000000003</v>
      </c>
      <c r="F9" s="25">
        <f t="shared" si="2"/>
        <v>427194.72480000008</v>
      </c>
      <c r="G9" s="25">
        <f t="shared" si="2"/>
        <v>437874.59292000002</v>
      </c>
      <c r="H9" s="25">
        <f t="shared" si="2"/>
        <v>448821.45774300001</v>
      </c>
      <c r="I9" s="25">
        <f t="shared" si="2"/>
        <v>460041.99418657494</v>
      </c>
      <c r="J9" s="25">
        <f t="shared" si="2"/>
        <v>469242.83407030645</v>
      </c>
      <c r="K9" s="25">
        <f t="shared" si="2"/>
        <v>478627.69075171265</v>
      </c>
      <c r="L9" s="25">
        <f t="shared" si="2"/>
        <v>488200.24456674687</v>
      </c>
      <c r="M9" s="25">
        <f t="shared" si="2"/>
        <v>497964.24945808185</v>
      </c>
      <c r="N9" s="25">
        <f t="shared" si="2"/>
        <v>507923.5344472435</v>
      </c>
      <c r="O9" s="215"/>
    </row>
    <row r="10" spans="2:15" ht="18" customHeight="1" x14ac:dyDescent="0.2">
      <c r="B10" s="20" t="s">
        <v>89</v>
      </c>
      <c r="C10" s="26">
        <f>Assumptions!C25</f>
        <v>7.0000000000000007E-2</v>
      </c>
      <c r="D10" s="27">
        <f t="shared" ref="D10:N10" si="3">-D9*$C$10</f>
        <v>-28187.040000000001</v>
      </c>
      <c r="E10" s="27">
        <f t="shared" si="3"/>
        <v>-29032.651200000004</v>
      </c>
      <c r="F10" s="27">
        <f t="shared" si="3"/>
        <v>-29903.63073600001</v>
      </c>
      <c r="G10" s="27">
        <f t="shared" si="3"/>
        <v>-30651.221504400004</v>
      </c>
      <c r="H10" s="27">
        <f t="shared" si="3"/>
        <v>-31417.502042010005</v>
      </c>
      <c r="I10" s="27">
        <f t="shared" si="3"/>
        <v>-32202.939593060248</v>
      </c>
      <c r="J10" s="27">
        <f t="shared" si="3"/>
        <v>-32846.998384921455</v>
      </c>
      <c r="K10" s="27">
        <f t="shared" si="3"/>
        <v>-33503.938352619887</v>
      </c>
      <c r="L10" s="27">
        <f t="shared" si="3"/>
        <v>-34174.017119672288</v>
      </c>
      <c r="M10" s="27">
        <f t="shared" si="3"/>
        <v>-34857.49746206573</v>
      </c>
      <c r="N10" s="27">
        <f t="shared" si="3"/>
        <v>-35554.647411307051</v>
      </c>
      <c r="O10" s="215"/>
    </row>
    <row r="11" spans="2:15" ht="18" customHeight="1" x14ac:dyDescent="0.2">
      <c r="B11" s="24" t="s">
        <v>90</v>
      </c>
      <c r="C11" s="24"/>
      <c r="D11" s="25">
        <f t="shared" ref="D11:N11" si="4">D9+D10</f>
        <v>374484.96</v>
      </c>
      <c r="E11" s="25">
        <f t="shared" si="4"/>
        <v>385719.50880000001</v>
      </c>
      <c r="F11" s="25">
        <f t="shared" si="4"/>
        <v>397291.09406400006</v>
      </c>
      <c r="G11" s="25">
        <f t="shared" si="4"/>
        <v>407223.37141560001</v>
      </c>
      <c r="H11" s="25">
        <f t="shared" si="4"/>
        <v>417403.95570098999</v>
      </c>
      <c r="I11" s="25">
        <f t="shared" si="4"/>
        <v>427839.05459351471</v>
      </c>
      <c r="J11" s="25">
        <f t="shared" si="4"/>
        <v>436395.83568538498</v>
      </c>
      <c r="K11" s="25">
        <f t="shared" si="4"/>
        <v>445123.75239909277</v>
      </c>
      <c r="L11" s="25">
        <f t="shared" si="4"/>
        <v>454026.22744707461</v>
      </c>
      <c r="M11" s="25">
        <f t="shared" si="4"/>
        <v>463106.75199601613</v>
      </c>
      <c r="N11" s="25">
        <f t="shared" si="4"/>
        <v>472368.88703593647</v>
      </c>
      <c r="O11" s="215"/>
    </row>
    <row r="12" spans="2:15" ht="18" customHeight="1" x14ac:dyDescent="0.2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5"/>
    </row>
    <row r="13" spans="2:15" ht="18" customHeight="1" x14ac:dyDescent="0.2">
      <c r="B13" s="19" t="s">
        <v>91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15"/>
    </row>
    <row r="14" spans="2:15" ht="18" customHeight="1" x14ac:dyDescent="0.2">
      <c r="B14" s="20" t="s">
        <v>92</v>
      </c>
      <c r="C14" s="218">
        <f>Assumptions!C29</f>
        <v>0.35</v>
      </c>
      <c r="D14" s="21">
        <f>D11*$C$14</f>
        <v>131069.736</v>
      </c>
      <c r="E14" s="21">
        <f>D14*(1+Assumptions!C30)</f>
        <v>135001.82808000001</v>
      </c>
      <c r="F14" s="21">
        <f>E14*(1+Assumptions!C30)</f>
        <v>139051.88292240002</v>
      </c>
      <c r="G14" s="21">
        <f>F14*(1+Assumptions!C30)</f>
        <v>143223.43941007202</v>
      </c>
      <c r="H14" s="21">
        <f>G14*(1+Assumptions!C30)</f>
        <v>147520.14259237418</v>
      </c>
      <c r="I14" s="21">
        <f>H14*(1+Assumptions!C30)</f>
        <v>151945.74687014541</v>
      </c>
      <c r="J14" s="21">
        <f>I14*(1+Assumptions!C30)</f>
        <v>156504.11927624978</v>
      </c>
      <c r="K14" s="21">
        <f>J14*(1+Assumptions!C30)</f>
        <v>161199.24285453727</v>
      </c>
      <c r="L14" s="21">
        <f>K14*(1+Assumptions!C30)</f>
        <v>166035.22014017339</v>
      </c>
      <c r="M14" s="21">
        <f>L14*(1+Assumptions!C30)</f>
        <v>171016.27674437859</v>
      </c>
      <c r="N14" s="21">
        <f>M14*(1+Assumptions!C30)</f>
        <v>176146.76504670994</v>
      </c>
      <c r="O14" s="215"/>
    </row>
    <row r="15" spans="2:15" ht="18" customHeight="1" x14ac:dyDescent="0.2">
      <c r="B15" s="22"/>
      <c r="C15" s="22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15"/>
    </row>
    <row r="16" spans="2:15" ht="18" customHeight="1" x14ac:dyDescent="0.2">
      <c r="B16" s="20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5"/>
    </row>
    <row r="17" spans="2:15" ht="18" customHeight="1" x14ac:dyDescent="0.2">
      <c r="B17" s="22"/>
      <c r="C17" s="22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15"/>
    </row>
    <row r="18" spans="2:15" ht="18" customHeight="1" x14ac:dyDescent="0.2">
      <c r="B18" s="20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5"/>
    </row>
    <row r="19" spans="2:15" ht="18" customHeight="1" x14ac:dyDescent="0.2">
      <c r="B19" s="30" t="s">
        <v>93</v>
      </c>
      <c r="C19" s="31"/>
      <c r="D19" s="32">
        <f t="shared" ref="D19:N19" si="5">D14</f>
        <v>131069.736</v>
      </c>
      <c r="E19" s="32">
        <f t="shared" si="5"/>
        <v>135001.82808000001</v>
      </c>
      <c r="F19" s="32">
        <f t="shared" si="5"/>
        <v>139051.88292240002</v>
      </c>
      <c r="G19" s="32">
        <f t="shared" si="5"/>
        <v>143223.43941007202</v>
      </c>
      <c r="H19" s="32">
        <f t="shared" si="5"/>
        <v>147520.14259237418</v>
      </c>
      <c r="I19" s="32">
        <f t="shared" si="5"/>
        <v>151945.74687014541</v>
      </c>
      <c r="J19" s="32">
        <f t="shared" si="5"/>
        <v>156504.11927624978</v>
      </c>
      <c r="K19" s="32">
        <f t="shared" si="5"/>
        <v>161199.24285453727</v>
      </c>
      <c r="L19" s="32">
        <f t="shared" si="5"/>
        <v>166035.22014017339</v>
      </c>
      <c r="M19" s="32">
        <f t="shared" si="5"/>
        <v>171016.27674437859</v>
      </c>
      <c r="N19" s="32">
        <f t="shared" si="5"/>
        <v>176146.76504670994</v>
      </c>
      <c r="O19" s="215"/>
    </row>
    <row r="20" spans="2:15" ht="18" customHeight="1" x14ac:dyDescent="0.2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15"/>
    </row>
    <row r="21" spans="2:15" ht="18" customHeight="1" x14ac:dyDescent="0.2">
      <c r="B21" s="24" t="s">
        <v>94</v>
      </c>
      <c r="C21" s="24"/>
      <c r="D21" s="25">
        <f>D11-D19</f>
        <v>243415.22400000002</v>
      </c>
      <c r="E21" s="25">
        <f t="shared" ref="D21:N21" si="6">E11-E19</f>
        <v>250717.68072</v>
      </c>
      <c r="F21" s="25">
        <f t="shared" si="6"/>
        <v>258239.21114160004</v>
      </c>
      <c r="G21" s="25">
        <f t="shared" si="6"/>
        <v>263999.93200552801</v>
      </c>
      <c r="H21" s="25">
        <f t="shared" si="6"/>
        <v>269883.81310861581</v>
      </c>
      <c r="I21" s="25">
        <f t="shared" si="6"/>
        <v>275893.30772336933</v>
      </c>
      <c r="J21" s="25">
        <f t="shared" si="6"/>
        <v>279891.7164091352</v>
      </c>
      <c r="K21" s="25">
        <f t="shared" si="6"/>
        <v>283924.50954455551</v>
      </c>
      <c r="L21" s="25">
        <f t="shared" si="6"/>
        <v>287991.00730690121</v>
      </c>
      <c r="M21" s="25">
        <f t="shared" si="6"/>
        <v>292090.47525163752</v>
      </c>
      <c r="N21" s="25">
        <f t="shared" si="6"/>
        <v>296222.12198922655</v>
      </c>
      <c r="O21" s="215"/>
    </row>
    <row r="22" spans="2:15" ht="18" customHeight="1" x14ac:dyDescent="0.2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5"/>
    </row>
    <row r="23" spans="2:15" ht="18" customHeight="1" x14ac:dyDescent="0.2">
      <c r="B23" s="19" t="s">
        <v>95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15"/>
    </row>
    <row r="24" spans="2:15" ht="18" customHeight="1" x14ac:dyDescent="0.2">
      <c r="B24" s="20" t="s">
        <v>96</v>
      </c>
      <c r="C24" s="20"/>
      <c r="D24" s="21">
        <f>Assumptions!C35*Assumptions!C36</f>
        <v>109200</v>
      </c>
      <c r="E24" s="21">
        <f>IF(1*12&lt;=Assumptions!C37,Assumptions!C35*Assumptions!C36,IF((1-1)*12&gt;=Assumptions!C37,-CUMIPMT(Assumptions!C36/12,Assumptions!C38*12,Assumptions!C35,(1-1)*12-Assumptions!C37+1,1*12-Assumptions!C37,0),Assumptions!C35*Assumptions!C36*(Assumptions!C37-(1-1)*12)/12+(-CUMIPMT(Assumptions!C36/12,Assumptions!C38*12,Assumptions!C35,1,1*12-Assumptions!C37,0))))</f>
        <v>109200</v>
      </c>
      <c r="F24" s="21">
        <f>IF(2*12&lt;=Assumptions!C37,Assumptions!C35*Assumptions!C36,IF((2-1)*12&gt;=Assumptions!C37,-CUMIPMT(Assumptions!C36/12,Assumptions!C38*12,Assumptions!C35,(2-1)*12-Assumptions!C37+1,2*12-Assumptions!C37,0),Assumptions!C35*Assumptions!C36*(Assumptions!C37-(2-1)*12)/12+(-CUMIPMT(Assumptions!C36/12,Assumptions!C38*12,Assumptions!C35,1,2*12-Assumptions!C37,0))))</f>
        <v>109200</v>
      </c>
      <c r="G24" s="21">
        <f>IF(3*12&lt;=Assumptions!C37,Assumptions!C35*Assumptions!C36,IF((3-1)*12&gt;=Assumptions!C37,-CUMIPMT(Assumptions!C36/12,Assumptions!C38*12,Assumptions!C35,(3-1)*12-Assumptions!C37+1,3*12-Assumptions!C37,0),Assumptions!C35*Assumptions!C36*(Assumptions!C37-(3-1)*12)/12+(-CUMIPMT(Assumptions!C36/12,Assumptions!C38*12,Assumptions!C35,1,3*12-Assumptions!C37,0))))</f>
        <v>108647.12565765374</v>
      </c>
      <c r="H24" s="21">
        <f>IF(4*12&lt;=Assumptions!C37,Assumptions!C35*Assumptions!C36,IF((4-1)*12&gt;=Assumptions!C37,-CUMIPMT(Assumptions!C36/12,Assumptions!C38*12,Assumptions!C35,(4-1)*12-Assumptions!C37+1,4*12-Assumptions!C37,0),Assumptions!C35*Assumptions!C36*(Assumptions!C37-(4-1)*12)/12+(-CUMIPMT(Assumptions!C36/12,Assumptions!C38*12,Assumptions!C35,1,4*12-Assumptions!C37,0))))</f>
        <v>107389.54242691782</v>
      </c>
      <c r="I24" s="21">
        <f>IF(5*12&lt;=Assumptions!C37,Assumptions!C35*Assumptions!C36,IF((5-1)*12&gt;=Assumptions!C37,-CUMIPMT(Assumptions!C36/12,Assumptions!C38*12,Assumptions!C35,(5-1)*12-Assumptions!C37+1,5*12-Assumptions!C37,0),Assumptions!C35*Assumptions!C36*(Assumptions!C37-(5-1)*12)/12+(-CUMIPMT(Assumptions!C36/12,Assumptions!C38*12,Assumptions!C35,1,5*12-Assumptions!C37,0))))</f>
        <v>106047.73651817217</v>
      </c>
      <c r="J24" s="21">
        <f>IF(6*12&lt;=Assumptions!C37,Assumptions!C35*Assumptions!C36,IF((6-1)*12&gt;=Assumptions!C37,-CUMIPMT(Assumptions!C36/12,Assumptions!C38*12,Assumptions!C35,(6-1)*12-Assumptions!C37+1,6*12-Assumptions!C37,0),Assumptions!C35*Assumptions!C36*(Assumptions!C37-(6-1)*12)/12+(-CUMIPMT(Assumptions!C36/12,Assumptions!C38*12,Assumptions!C35,1,6*12-Assumptions!C37,0))))</f>
        <v>104616.06738268987</v>
      </c>
      <c r="K24" s="21">
        <f>IF(7*12&lt;=Assumptions!C37,Assumptions!C35*Assumptions!C36,IF((7-1)*12&gt;=Assumptions!C37,-CUMIPMT(Assumptions!C36/12,Assumptions!C38*12,Assumptions!C35,(7-1)*12-Assumptions!C37+1,7*12-Assumptions!C37,0),Assumptions!C35*Assumptions!C36*(Assumptions!C37-(7-1)*12)/12+(-CUMIPMT(Assumptions!C36/12,Assumptions!C38*12,Assumptions!C35,1,7*12-Assumptions!C37,0))))</f>
        <v>103088.51671374944</v>
      </c>
      <c r="L24" s="21">
        <f>IF(8*12&lt;=Assumptions!C37,Assumptions!C35*Assumptions!C36,IF((8-1)*12&gt;=Assumptions!C37,-CUMIPMT(Assumptions!C36/12,Assumptions!C38*12,Assumptions!C35,(8-1)*12-Assumptions!C37+1,8*12-Assumptions!C37,0),Assumptions!C35*Assumptions!C36*(Assumptions!C37-(8-1)*12)/12+(-CUMIPMT(Assumptions!C36/12,Assumptions!C38*12,Assumptions!C35,1,8*12-Assumptions!C37,0))))</f>
        <v>101458.66314748235</v>
      </c>
      <c r="M24" s="21">
        <f>IF(9*12&lt;=Assumptions!C37,Assumptions!C35*Assumptions!C36,IF((9-1)*12&gt;=Assumptions!C37,-CUMIPMT(Assumptions!C36/12,Assumptions!C38*12,Assumptions!C35,(9-1)*12-Assumptions!C37+1,9*12-Assumptions!C37,0),Assumptions!C35*Assumptions!C36*(Assumptions!C37-(9-1)*12)/12+(-CUMIPMT(Assumptions!C36/12,Assumptions!C38*12,Assumptions!C35,1,9*12-Assumptions!C37,0))))</f>
        <v>99719.65526938939</v>
      </c>
      <c r="N24" s="21">
        <f>IF(10*12&lt;=Assumptions!C37,Assumptions!C35*Assumptions!C36,IF((10-1)*12&gt;=Assumptions!C37,-CUMIPMT(Assumptions!C36/12,Assumptions!C38*12,Assumptions!C35,(10-1)*12-Assumptions!C37+1,10*12-Assumptions!C37,0),Assumptions!C35*Assumptions!C36*(Assumptions!C37-(10-1)*12)/12+(-CUMIPMT(Assumptions!C36/12,Assumptions!C38*12,Assumptions!C35,1,10*12-Assumptions!C37,0))))</f>
        <v>97864.182813053529</v>
      </c>
      <c r="O24" s="215"/>
    </row>
    <row r="25" spans="2:15" ht="18" customHeight="1" x14ac:dyDescent="0.2">
      <c r="B25" s="22" t="s">
        <v>97</v>
      </c>
      <c r="C25" s="22"/>
      <c r="D25" s="29">
        <f>0</f>
        <v>0</v>
      </c>
      <c r="E25" s="29">
        <f>IF(1*12&lt;=Assumptions!C37,0,IF((1-1)*12&gt;=Assumptions!C37,-CUMPRINC(Assumptions!C36/12,Assumptions!C38*12,Assumptions!C35,(1-1)*12-Assumptions!C37+1,1*12-Assumptions!C37,0),-CUMPRINC(Assumptions!C36/12,Assumptions!C38*12,Assumptions!C35,1,1*12-Assumptions!C37,0)))</f>
        <v>0</v>
      </c>
      <c r="F25" s="29">
        <f>IF(2*12&lt;=Assumptions!C37,0,IF((2-1)*12&gt;=Assumptions!C37,-CUMPRINC(Assumptions!C36/12,Assumptions!C38*12,Assumptions!C35,(2-1)*12-Assumptions!C37+1,2*12-Assumptions!C37,0),-CUMPRINC(Assumptions!C36/12,Assumptions!C38*12,Assumptions!C35,1,2*12-Assumptions!C37,0)))</f>
        <v>0</v>
      </c>
      <c r="G25" s="29">
        <f>IF(3*12&lt;=Assumptions!C37,0,IF((3-1)*12&gt;=Assumptions!C37,-CUMPRINC(Assumptions!C36/12,Assumptions!C38*12,Assumptions!C35,(3-1)*12-Assumptions!C37+1,3*12-Assumptions!C37,0),-CUMPRINC(Assumptions!C36/12,Assumptions!C38*12,Assumptions!C35,1,3*12-Assumptions!C37,0)))</f>
        <v>18777.787878527753</v>
      </c>
      <c r="H25" s="29">
        <f>IF(4*12&lt;=Assumptions!C37,0,IF((4-1)*12&gt;=Assumptions!C37,-CUMPRINC(Assumptions!C36/12,Assumptions!C38*12,Assumptions!C35,(4-1)*12-Assumptions!C37+1,4*12-Assumptions!C37,0),-CUMPRINC(Assumptions!C36/12,Assumptions!C38*12,Assumptions!C35,1,4*12-Assumptions!C37,0)))</f>
        <v>20035.371109263677</v>
      </c>
      <c r="I25" s="29">
        <f>IF(5*12&lt;=Assumptions!C37,0,IF((5-1)*12&gt;=Assumptions!C37,-CUMPRINC(Assumptions!C36/12,Assumptions!C38*12,Assumptions!C35,(5-1)*12-Assumptions!C37+1,5*12-Assumptions!C37,0),-CUMPRINC(Assumptions!C36/12,Assumptions!C38*12,Assumptions!C35,1,5*12-Assumptions!C37,0)))</f>
        <v>21377.177018009323</v>
      </c>
      <c r="J25" s="29">
        <f>IF(6*12&lt;=Assumptions!C37,0,IF((6-1)*12&gt;=Assumptions!C37,-CUMPRINC(Assumptions!C36/12,Assumptions!C38*12,Assumptions!C35,(6-1)*12-Assumptions!C37+1,6*12-Assumptions!C37,0),-CUMPRINC(Assumptions!C36/12,Assumptions!C38*12,Assumptions!C35,1,6*12-Assumptions!C37,0)))</f>
        <v>22808.846153491624</v>
      </c>
      <c r="K25" s="29">
        <f>IF(7*12&lt;=Assumptions!C37,0,IF((7-1)*12&gt;=Assumptions!C37,-CUMPRINC(Assumptions!C36/12,Assumptions!C38*12,Assumptions!C35,(7-1)*12-Assumptions!C37+1,7*12-Assumptions!C37,0),-CUMPRINC(Assumptions!C36/12,Assumptions!C38*12,Assumptions!C35,1,7*12-Assumptions!C37,0)))</f>
        <v>24336.396822432052</v>
      </c>
      <c r="L25" s="29">
        <f>IF(8*12&lt;=Assumptions!C37,0,IF((8-1)*12&gt;=Assumptions!C37,-CUMPRINC(Assumptions!C36/12,Assumptions!C38*12,Assumptions!C35,(8-1)*12-Assumptions!C37+1,8*12-Assumptions!C37,0),-CUMPRINC(Assumptions!C36/12,Assumptions!C38*12,Assumptions!C35,1,8*12-Assumptions!C37,0)))</f>
        <v>25966.250388699154</v>
      </c>
      <c r="M25" s="29">
        <f>IF(9*12&lt;=Assumptions!C37,0,IF((9-1)*12&gt;=Assumptions!C37,-CUMPRINC(Assumptions!C36/12,Assumptions!C38*12,Assumptions!C35,(9-1)*12-Assumptions!C37+1,9*12-Assumptions!C37,0),-CUMPRINC(Assumptions!C36/12,Assumptions!C38*12,Assumptions!C35,1,9*12-Assumptions!C37,0)))</f>
        <v>27705.258266792105</v>
      </c>
      <c r="N25" s="29">
        <f>IF(10*12&lt;=Assumptions!C37,0,IF((10-1)*12&gt;=Assumptions!C37,-CUMPRINC(Assumptions!C36/12,Assumptions!C38*12,Assumptions!C35,(10-1)*12-Assumptions!C37+1,10*12-Assumptions!C37,0),-CUMPRINC(Assumptions!C36/12,Assumptions!C38*12,Assumptions!C35,1,10*12-Assumptions!C37,0)))</f>
        <v>29560.730723127966</v>
      </c>
      <c r="O25" s="215"/>
    </row>
    <row r="26" spans="2:15" ht="18" customHeight="1" x14ac:dyDescent="0.2">
      <c r="B26" s="30" t="s">
        <v>98</v>
      </c>
      <c r="C26" s="30"/>
      <c r="D26" s="32">
        <f t="shared" ref="D26:N26" si="7">D24+D25</f>
        <v>109200</v>
      </c>
      <c r="E26" s="32">
        <f t="shared" si="7"/>
        <v>109200</v>
      </c>
      <c r="F26" s="32">
        <f t="shared" si="7"/>
        <v>109200</v>
      </c>
      <c r="G26" s="32">
        <f t="shared" si="7"/>
        <v>127424.9135361815</v>
      </c>
      <c r="H26" s="32">
        <f t="shared" si="7"/>
        <v>127424.9135361815</v>
      </c>
      <c r="I26" s="32">
        <f t="shared" si="7"/>
        <v>127424.9135361815</v>
      </c>
      <c r="J26" s="32">
        <f t="shared" si="7"/>
        <v>127424.9135361815</v>
      </c>
      <c r="K26" s="32">
        <f t="shared" si="7"/>
        <v>127424.9135361815</v>
      </c>
      <c r="L26" s="32">
        <f t="shared" si="7"/>
        <v>127424.9135361815</v>
      </c>
      <c r="M26" s="32">
        <f t="shared" si="7"/>
        <v>127424.9135361815</v>
      </c>
      <c r="N26" s="32">
        <f t="shared" si="7"/>
        <v>127424.9135361815</v>
      </c>
      <c r="O26" s="215"/>
    </row>
    <row r="27" spans="2:15" ht="18" customHeight="1" x14ac:dyDescent="0.2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15"/>
    </row>
    <row r="28" spans="2:15" ht="18" customHeight="1" x14ac:dyDescent="0.2">
      <c r="B28" s="24" t="s">
        <v>99</v>
      </c>
      <c r="C28" s="24"/>
      <c r="D28" s="33">
        <f t="shared" ref="D28:N28" si="8">D21-D26</f>
        <v>134215.22400000002</v>
      </c>
      <c r="E28" s="33">
        <f t="shared" si="8"/>
        <v>141517.68072</v>
      </c>
      <c r="F28" s="33">
        <f t="shared" si="8"/>
        <v>149039.21114160004</v>
      </c>
      <c r="G28" s="33">
        <f t="shared" si="8"/>
        <v>136575.01846934651</v>
      </c>
      <c r="H28" s="33">
        <f t="shared" si="8"/>
        <v>142458.89957243431</v>
      </c>
      <c r="I28" s="33">
        <f t="shared" si="8"/>
        <v>148468.39418718783</v>
      </c>
      <c r="J28" s="33">
        <f t="shared" si="8"/>
        <v>152466.8028729537</v>
      </c>
      <c r="K28" s="33">
        <f t="shared" si="8"/>
        <v>156499.59600837401</v>
      </c>
      <c r="L28" s="33">
        <f t="shared" si="8"/>
        <v>160566.09377071972</v>
      </c>
      <c r="M28" s="33">
        <f t="shared" si="8"/>
        <v>164665.56171545602</v>
      </c>
      <c r="N28" s="33">
        <f t="shared" si="8"/>
        <v>168797.20845304505</v>
      </c>
      <c r="O28" s="215"/>
    </row>
    <row r="29" spans="2:15" ht="18" customHeight="1" x14ac:dyDescent="0.2">
      <c r="B29" s="24" t="s">
        <v>100</v>
      </c>
      <c r="C29" s="24"/>
      <c r="D29" s="34">
        <f>D28</f>
        <v>134215.22400000002</v>
      </c>
      <c r="E29" s="34">
        <f t="shared" ref="E29:N29" si="9">D29+E28</f>
        <v>275732.90471999999</v>
      </c>
      <c r="F29" s="34">
        <f t="shared" si="9"/>
        <v>424772.11586160003</v>
      </c>
      <c r="G29" s="34">
        <f t="shared" si="9"/>
        <v>561347.13433094649</v>
      </c>
      <c r="H29" s="34">
        <f t="shared" si="9"/>
        <v>703806.03390338086</v>
      </c>
      <c r="I29" s="34">
        <f t="shared" si="9"/>
        <v>852274.42809056863</v>
      </c>
      <c r="J29" s="34">
        <f t="shared" si="9"/>
        <v>1004741.2309635223</v>
      </c>
      <c r="K29" s="34">
        <f t="shared" si="9"/>
        <v>1161240.8269718965</v>
      </c>
      <c r="L29" s="34">
        <f t="shared" si="9"/>
        <v>1321806.9207426161</v>
      </c>
      <c r="M29" s="34">
        <f t="shared" si="9"/>
        <v>1486472.482458072</v>
      </c>
      <c r="N29" s="34">
        <f t="shared" si="9"/>
        <v>1655269.690911117</v>
      </c>
      <c r="O29" s="215"/>
    </row>
    <row r="30" spans="2:15" ht="18" customHeight="1" x14ac:dyDescent="0.2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5"/>
    </row>
    <row r="31" spans="2:15" ht="18" customHeight="1" x14ac:dyDescent="0.2">
      <c r="B31" s="19" t="s">
        <v>101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15"/>
    </row>
    <row r="32" spans="2:15" ht="18" customHeight="1" x14ac:dyDescent="0.2">
      <c r="B32" s="20" t="s">
        <v>102</v>
      </c>
      <c r="C32" s="20"/>
      <c r="D32" s="35">
        <f>D21/D26</f>
        <v>2.2290771428571432</v>
      </c>
      <c r="E32" s="35">
        <f t="shared" ref="D32:N32" si="10">E21/E26</f>
        <v>2.2959494571428571</v>
      </c>
      <c r="F32" s="35">
        <f t="shared" si="10"/>
        <v>2.3648279408571433</v>
      </c>
      <c r="G32" s="35">
        <f t="shared" si="10"/>
        <v>2.0718078174765009</v>
      </c>
      <c r="H32" s="35">
        <f t="shared" si="10"/>
        <v>2.1179830978028016</v>
      </c>
      <c r="I32" s="35">
        <f t="shared" si="10"/>
        <v>2.1651441626839416</v>
      </c>
      <c r="J32" s="35">
        <f t="shared" si="10"/>
        <v>2.1965227100559241</v>
      </c>
      <c r="K32" s="35">
        <f t="shared" si="10"/>
        <v>2.2281710982988967</v>
      </c>
      <c r="L32" s="35">
        <f t="shared" si="10"/>
        <v>2.2600839923279836</v>
      </c>
      <c r="M32" s="35">
        <f t="shared" si="10"/>
        <v>2.2922556283995457</v>
      </c>
      <c r="N32" s="35">
        <f t="shared" si="10"/>
        <v>2.3246797958792897</v>
      </c>
      <c r="O32" s="215"/>
    </row>
    <row r="33" spans="2:15" ht="18" customHeight="1" x14ac:dyDescent="0.2">
      <c r="B33" s="22" t="s">
        <v>103</v>
      </c>
      <c r="C33" s="22"/>
      <c r="D33" s="23">
        <f>D28/Assumptions!C58</f>
        <v>0.12970160804020103</v>
      </c>
      <c r="E33" s="23">
        <f>E28/Assumptions!C58</f>
        <v>0.13675848542713567</v>
      </c>
      <c r="F33" s="23">
        <f>F28/Assumptions!C58</f>
        <v>0.14402706913567842</v>
      </c>
      <c r="G33" s="23">
        <f>G28/Assumptions!C58</f>
        <v>0.13198204336040445</v>
      </c>
      <c r="H33" s="23">
        <f>H28/Assumptions!C58</f>
        <v>0.137668051384262</v>
      </c>
      <c r="I33" s="23">
        <f>I28/Assumptions!C58</f>
        <v>0.14347544857671804</v>
      </c>
      <c r="J33" s="23">
        <f>J28/Assumptions!C58</f>
        <v>0.14733939203029928</v>
      </c>
      <c r="K33" s="23">
        <f>K28/Assumptions!C58</f>
        <v>0.151236563595259</v>
      </c>
      <c r="L33" s="23">
        <f>L28/Assumptions!C58</f>
        <v>0.15516630631109365</v>
      </c>
      <c r="M33" s="23">
        <f>M28/Assumptions!C58</f>
        <v>0.1591279104324082</v>
      </c>
      <c r="N33" s="23">
        <f>N28/Assumptions!C58</f>
        <v>0.16312061118384716</v>
      </c>
      <c r="O33" s="215"/>
    </row>
    <row r="34" spans="2:15" ht="18" customHeight="1" x14ac:dyDescent="0.2">
      <c r="B34" s="20" t="s">
        <v>104</v>
      </c>
      <c r="C34" s="20"/>
      <c r="D34" s="36">
        <f>D21/Assumptions!C7</f>
        <v>0.10142301000000001</v>
      </c>
      <c r="E34" s="36">
        <f>E21/Assumptions!C7</f>
        <v>0.10446570030000001</v>
      </c>
      <c r="F34" s="36">
        <f>F21/Assumptions!C7</f>
        <v>0.10759967130900001</v>
      </c>
      <c r="G34" s="36">
        <f>G21/Assumptions!C7</f>
        <v>0.10999997166897001</v>
      </c>
      <c r="H34" s="36">
        <f>H21/Assumptions!C7</f>
        <v>0.11245158879525659</v>
      </c>
      <c r="I34" s="36">
        <f>I21/Assumptions!C7</f>
        <v>0.11495554488473722</v>
      </c>
      <c r="J34" s="36">
        <f>J21/Assumptions!C7</f>
        <v>0.11662154850380634</v>
      </c>
      <c r="K34" s="36">
        <f>K21/Assumptions!C7</f>
        <v>0.11830187897689813</v>
      </c>
      <c r="L34" s="36">
        <f>L21/Assumptions!C7</f>
        <v>0.11999625304454217</v>
      </c>
      <c r="M34" s="36">
        <f>M21/Assumptions!C7</f>
        <v>0.1217043646881823</v>
      </c>
      <c r="N34" s="36">
        <f>N21/Assumptions!C7</f>
        <v>0.12342588416217773</v>
      </c>
      <c r="O34" s="215"/>
    </row>
    <row r="35" spans="2:15" ht="18" customHeight="1" x14ac:dyDescent="0.2">
      <c r="B35" s="22" t="s">
        <v>105</v>
      </c>
      <c r="C35" s="22"/>
      <c r="D35" s="23">
        <f t="shared" ref="D35:N35" si="11">D19/D11</f>
        <v>0.35</v>
      </c>
      <c r="E35" s="23">
        <f t="shared" si="11"/>
        <v>0.35000000000000003</v>
      </c>
      <c r="F35" s="23">
        <f t="shared" si="11"/>
        <v>0.35</v>
      </c>
      <c r="G35" s="23">
        <f t="shared" si="11"/>
        <v>0.35170731707317077</v>
      </c>
      <c r="H35" s="23">
        <f t="shared" si="11"/>
        <v>0.3534229625223082</v>
      </c>
      <c r="I35" s="23">
        <f t="shared" si="11"/>
        <v>0.35514697697363656</v>
      </c>
      <c r="J35" s="23">
        <f t="shared" si="11"/>
        <v>0.35862881008122127</v>
      </c>
      <c r="K35" s="23">
        <f t="shared" si="11"/>
        <v>0.36214477880750767</v>
      </c>
      <c r="L35" s="23">
        <f t="shared" si="11"/>
        <v>0.36569521781542447</v>
      </c>
      <c r="M35" s="23">
        <f t="shared" si="11"/>
        <v>0.36928046504890893</v>
      </c>
      <c r="N35" s="23">
        <f t="shared" si="11"/>
        <v>0.37290086176507475</v>
      </c>
      <c r="O35" s="215"/>
    </row>
    <row r="36" spans="2:15" ht="15.75" customHeight="1" x14ac:dyDescent="0.2">
      <c r="B36" s="216" t="s">
        <v>106</v>
      </c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5"/>
    </row>
    <row r="37" spans="2:15" ht="10" customHeight="1" x14ac:dyDescent="0.2">
      <c r="O37" s="215"/>
    </row>
    <row r="38" spans="2:15" ht="20" customHeight="1" x14ac:dyDescent="0.2">
      <c r="B38" s="130" t="s">
        <v>107</v>
      </c>
      <c r="C38" s="130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215"/>
    </row>
    <row r="39" spans="2:15" ht="16" x14ac:dyDescent="0.2">
      <c r="B39" s="204"/>
      <c r="C39" s="204"/>
      <c r="O39" s="215"/>
    </row>
    <row r="40" spans="2:15" ht="17" customHeight="1" x14ac:dyDescent="0.2">
      <c r="B40" s="126" t="s">
        <v>108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215"/>
    </row>
    <row r="41" spans="2:15" ht="15" customHeight="1" x14ac:dyDescent="0.2">
      <c r="B41" s="140" t="s">
        <v>48</v>
      </c>
      <c r="C41" s="140">
        <f>Assumptions!C44</f>
        <v>5</v>
      </c>
      <c r="O41" s="215"/>
    </row>
    <row r="42" spans="2:15" ht="15" customHeight="1" x14ac:dyDescent="0.2">
      <c r="B42" s="146" t="s">
        <v>49</v>
      </c>
      <c r="C42" s="147">
        <f>Assumptions!C45</f>
        <v>7.0000000000000007E-2</v>
      </c>
      <c r="O42" s="215"/>
    </row>
    <row r="43" spans="2:15" ht="15" customHeight="1" x14ac:dyDescent="0.2">
      <c r="B43" s="140" t="s">
        <v>50</v>
      </c>
      <c r="C43" s="141">
        <f>Assumptions!C46</f>
        <v>0.04</v>
      </c>
      <c r="O43" s="215"/>
    </row>
    <row r="44" spans="2:15" ht="15" customHeight="1" x14ac:dyDescent="0.2">
      <c r="B44" s="146" t="s">
        <v>109</v>
      </c>
      <c r="C44" s="148">
        <f t="array" ref="C44">INDEX('Pro Forma'!E21:N21,1,Assumptions!C44)</f>
        <v>275893.30772336933</v>
      </c>
      <c r="O44" s="215"/>
    </row>
    <row r="45" spans="2:15" ht="15" customHeight="1" x14ac:dyDescent="0.2">
      <c r="B45" s="140" t="s">
        <v>110</v>
      </c>
      <c r="C45" s="142">
        <f>C44/C42</f>
        <v>3941332.9674767042</v>
      </c>
      <c r="O45" s="215"/>
    </row>
    <row r="46" spans="2:15" ht="15" customHeight="1" x14ac:dyDescent="0.2">
      <c r="B46" s="146" t="s">
        <v>111</v>
      </c>
      <c r="C46" s="148">
        <f>-C45*C43</f>
        <v>-157653.31869906816</v>
      </c>
      <c r="O46" s="215"/>
    </row>
    <row r="47" spans="2:15" ht="15" customHeight="1" x14ac:dyDescent="0.2">
      <c r="B47" s="145" t="s">
        <v>112</v>
      </c>
      <c r="C47" s="151">
        <f>C45+C46</f>
        <v>3783679.6487776358</v>
      </c>
      <c r="O47" s="215"/>
    </row>
    <row r="48" spans="2:15" ht="15" customHeight="1" x14ac:dyDescent="0.2">
      <c r="B48" s="146" t="s">
        <v>113</v>
      </c>
      <c r="C48" s="148">
        <f>-IF(C41*12&lt;=Assumptions!C37,Assumptions!C35,Assumptions!C35-CUMPRINC(Assumptions!C36/12,Assumptions!C38*12,Assumptions!C35,1,MIN(C41*12-Assumptions!C37,Assumptions!C38*12),0))</f>
        <v>-1740190.3360058006</v>
      </c>
      <c r="O48" s="215"/>
    </row>
    <row r="49" spans="2:15" ht="15" customHeight="1" x14ac:dyDescent="0.2">
      <c r="B49" s="145" t="s">
        <v>114</v>
      </c>
      <c r="C49" s="151">
        <f>C47+C48</f>
        <v>2043489.3127718351</v>
      </c>
      <c r="O49" s="215"/>
    </row>
    <row r="50" spans="2:15" ht="15" customHeight="1" x14ac:dyDescent="0.2">
      <c r="B50" s="149" t="s">
        <v>115</v>
      </c>
      <c r="C50" s="150">
        <f>Assumptions!C58</f>
        <v>1034800</v>
      </c>
      <c r="O50" s="215"/>
    </row>
    <row r="51" spans="2:15" ht="16" x14ac:dyDescent="0.2">
      <c r="B51" s="204"/>
      <c r="C51" s="129"/>
      <c r="O51" s="215"/>
    </row>
    <row r="52" spans="2:15" ht="17" customHeight="1" x14ac:dyDescent="0.2">
      <c r="B52" s="126" t="s">
        <v>116</v>
      </c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215"/>
    </row>
    <row r="53" spans="2:15" ht="15" customHeight="1" x14ac:dyDescent="0.2">
      <c r="B53" s="143"/>
      <c r="C53" s="143"/>
      <c r="D53" s="143" t="s">
        <v>73</v>
      </c>
      <c r="E53" s="143" t="s">
        <v>74</v>
      </c>
      <c r="F53" s="143" t="s">
        <v>75</v>
      </c>
      <c r="G53" s="143" t="s">
        <v>76</v>
      </c>
      <c r="H53" s="143" t="s">
        <v>77</v>
      </c>
      <c r="I53" s="143" t="s">
        <v>78</v>
      </c>
      <c r="J53" s="143" t="s">
        <v>79</v>
      </c>
      <c r="K53" s="143" t="s">
        <v>80</v>
      </c>
      <c r="L53" s="143" t="s">
        <v>81</v>
      </c>
      <c r="M53" s="143" t="s">
        <v>82</v>
      </c>
      <c r="N53" s="143" t="s">
        <v>83</v>
      </c>
      <c r="O53" s="215"/>
    </row>
    <row r="54" spans="2:15" ht="15" customHeight="1" x14ac:dyDescent="0.2">
      <c r="B54" s="204" t="s">
        <v>117</v>
      </c>
      <c r="C54" s="204"/>
      <c r="D54" s="229">
        <f>-C50</f>
        <v>-1034800</v>
      </c>
      <c r="E54" s="229">
        <f>IF(1&lt;=$C$41,'Pro Forma'!E28+IF(1=$C$41,$C$49,0),0)</f>
        <v>141517.68072</v>
      </c>
      <c r="F54" s="229">
        <f>IF(2&lt;=$C$41,'Pro Forma'!F28+IF(2=$C$41,$C$49,0),0)</f>
        <v>149039.21114160004</v>
      </c>
      <c r="G54" s="229">
        <f>IF(3&lt;=$C$41,'Pro Forma'!G28+IF(3=$C$41,$C$49,0),0)</f>
        <v>136575.01846934651</v>
      </c>
      <c r="H54" s="229">
        <f>IF(4&lt;=$C$41,'Pro Forma'!H28+IF(4=$C$41,$C$49,0),0)</f>
        <v>142458.89957243431</v>
      </c>
      <c r="I54" s="229">
        <f>IF(5&lt;=$C$41,'Pro Forma'!I28+IF(5=$C$41,$C$49,0),0)</f>
        <v>2191957.7069590231</v>
      </c>
      <c r="J54" s="229">
        <f>IF(6&lt;=$C$41,'Pro Forma'!J28+IF(6=$C$41,$C$49,0),0)</f>
        <v>0</v>
      </c>
      <c r="K54" s="229">
        <f>IF(7&lt;=$C$41,'Pro Forma'!K28+IF(7=$C$41,$C$49,0),0)</f>
        <v>0</v>
      </c>
      <c r="L54" s="229">
        <f>IF(8&lt;=$C$41,'Pro Forma'!L28+IF(8=$C$41,$C$49,0),0)</f>
        <v>0</v>
      </c>
      <c r="M54" s="229">
        <f>IF(9&lt;=$C$41,'Pro Forma'!M28+IF(9=$C$41,$C$49,0),0)</f>
        <v>0</v>
      </c>
      <c r="N54" s="229">
        <f>IF(10&lt;=$C$41,'Pro Forma'!N28+IF(10=$C$41,$C$49,0),0)</f>
        <v>0</v>
      </c>
      <c r="O54" s="215"/>
    </row>
    <row r="55" spans="2:15" ht="13" customHeight="1" x14ac:dyDescent="0.2">
      <c r="B55" s="230" t="s">
        <v>118</v>
      </c>
      <c r="C55" s="204"/>
      <c r="D55" s="231">
        <f>'Pro Forma'!D28</f>
        <v>134215.22400000002</v>
      </c>
      <c r="E55" s="231">
        <f>'Pro Forma'!E28</f>
        <v>141517.68072</v>
      </c>
      <c r="F55" s="231">
        <f>'Pro Forma'!F28</f>
        <v>149039.21114160004</v>
      </c>
      <c r="G55" s="231">
        <f>'Pro Forma'!G28</f>
        <v>136575.01846934651</v>
      </c>
      <c r="H55" s="231">
        <f>'Pro Forma'!H28</f>
        <v>142458.89957243431</v>
      </c>
      <c r="I55" s="231">
        <f>'Pro Forma'!I28</f>
        <v>148468.39418718783</v>
      </c>
      <c r="J55" s="231">
        <f>'Pro Forma'!J28</f>
        <v>152466.8028729537</v>
      </c>
      <c r="K55" s="231">
        <f>'Pro Forma'!K28</f>
        <v>156499.59600837401</v>
      </c>
      <c r="L55" s="231">
        <f>'Pro Forma'!L28</f>
        <v>160566.09377071972</v>
      </c>
      <c r="M55" s="231">
        <f>'Pro Forma'!M28</f>
        <v>164665.56171545602</v>
      </c>
      <c r="N55" s="231">
        <f>'Pro Forma'!N28</f>
        <v>168797.20845304505</v>
      </c>
      <c r="O55" s="215"/>
    </row>
    <row r="56" spans="2:15" ht="16" x14ac:dyDescent="0.2">
      <c r="B56" s="204"/>
      <c r="C56" s="204"/>
      <c r="O56" s="215"/>
    </row>
    <row r="57" spans="2:15" ht="15" customHeight="1" x14ac:dyDescent="0.2">
      <c r="B57" s="152" t="s">
        <v>119</v>
      </c>
      <c r="C57" s="153">
        <f>IFERROR(IRR(D54:N54),"n/a")</f>
        <v>0.25593796868384744</v>
      </c>
      <c r="O57" s="215"/>
    </row>
    <row r="58" spans="2:15" ht="15" customHeight="1" x14ac:dyDescent="0.2">
      <c r="B58" s="204" t="s">
        <v>120</v>
      </c>
      <c r="C58" s="232">
        <f>IFERROR(SUM(E54:N54)/(-D54),"n/a")</f>
        <v>2.6686785048921569</v>
      </c>
      <c r="O58" s="215"/>
    </row>
    <row r="59" spans="2:15" ht="15" customHeight="1" x14ac:dyDescent="0.2">
      <c r="B59" s="204" t="s">
        <v>121</v>
      </c>
      <c r="C59" s="233">
        <f>IFERROR(AVERAGE(E55:INDEX(E55:N55,1,C41))/C50,"n/a")</f>
        <v>0.1387822195768397</v>
      </c>
      <c r="O59" s="215"/>
    </row>
    <row r="60" spans="2:15" ht="15" customHeight="1" x14ac:dyDescent="0.2">
      <c r="B60" s="204" t="s">
        <v>122</v>
      </c>
      <c r="C60" s="234">
        <f>C49-C50</f>
        <v>1008689.3127718351</v>
      </c>
      <c r="O60" s="215"/>
    </row>
    <row r="61" spans="2:15" ht="16" x14ac:dyDescent="0.2">
      <c r="B61" s="204"/>
      <c r="C61" s="204"/>
      <c r="O61" s="215"/>
    </row>
    <row r="62" spans="2:15" ht="17" customHeight="1" x14ac:dyDescent="0.2">
      <c r="B62" s="126" t="s">
        <v>123</v>
      </c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215"/>
    </row>
    <row r="63" spans="2:15" ht="15" customHeight="1" x14ac:dyDescent="0.2">
      <c r="B63" s="143"/>
      <c r="C63" s="143"/>
      <c r="D63" s="143" t="s">
        <v>73</v>
      </c>
      <c r="E63" s="143" t="s">
        <v>74</v>
      </c>
      <c r="F63" s="143" t="s">
        <v>75</v>
      </c>
      <c r="G63" s="143" t="s">
        <v>76</v>
      </c>
      <c r="H63" s="143" t="s">
        <v>77</v>
      </c>
      <c r="I63" s="143" t="s">
        <v>78</v>
      </c>
      <c r="J63" s="143" t="s">
        <v>79</v>
      </c>
      <c r="K63" s="143" t="s">
        <v>80</v>
      </c>
      <c r="L63" s="143" t="s">
        <v>81</v>
      </c>
      <c r="M63" s="143" t="s">
        <v>82</v>
      </c>
      <c r="N63" s="143" t="s">
        <v>83</v>
      </c>
      <c r="O63" s="215"/>
    </row>
    <row r="64" spans="2:15" ht="15" customHeight="1" x14ac:dyDescent="0.2">
      <c r="B64" s="204" t="s">
        <v>124</v>
      </c>
      <c r="C64" s="204"/>
      <c r="D64" s="229">
        <f>-Assumptions!C11</f>
        <v>-2698000</v>
      </c>
      <c r="E64" s="229">
        <f>IF(1&lt;=$C$41,'Pro Forma'!E21+IF(1=$C$41,('Pro Forma'!E21/$C$42)*(1-$C$43),0),0)</f>
        <v>250717.68072</v>
      </c>
      <c r="F64" s="229">
        <f>IF(2&lt;=$C$41,'Pro Forma'!F21+IF(2=$C$41,('Pro Forma'!F21/$C$42)*(1-$C$43),0),0)</f>
        <v>258239.21114160004</v>
      </c>
      <c r="G64" s="229">
        <f>IF(3&lt;=$C$41,'Pro Forma'!G21+IF(3=$C$41,('Pro Forma'!G21/$C$42)*(1-$C$43),0),0)</f>
        <v>263999.93200552801</v>
      </c>
      <c r="H64" s="229">
        <f>IF(4&lt;=$C$41,'Pro Forma'!H21+IF(4=$C$41,('Pro Forma'!H21/$C$42)*(1-$C$43),0),0)</f>
        <v>269883.81310861581</v>
      </c>
      <c r="I64" s="229">
        <f>IF(5&lt;=$C$41,'Pro Forma'!I21+IF(5=$C$41,('Pro Forma'!I21/$C$42)*(1-$C$43),0),0)</f>
        <v>4059572.9565010052</v>
      </c>
      <c r="J64" s="229">
        <f>IF(6&lt;=$C$41,'Pro Forma'!J21+IF(6=$C$41,('Pro Forma'!J21/$C$42)*(1-$C$43),0),0)</f>
        <v>0</v>
      </c>
      <c r="K64" s="229">
        <f>IF(7&lt;=$C$41,'Pro Forma'!K21+IF(7=$C$41,('Pro Forma'!K21/$C$42)*(1-$C$43),0),0)</f>
        <v>0</v>
      </c>
      <c r="L64" s="229">
        <f>IF(8&lt;=$C$41,'Pro Forma'!L21+IF(8=$C$41,('Pro Forma'!L21/$C$42)*(1-$C$43),0),0)</f>
        <v>0</v>
      </c>
      <c r="M64" s="229">
        <f>IF(9&lt;=$C$41,'Pro Forma'!M21+IF(9=$C$41,('Pro Forma'!M21/$C$42)*(1-$C$43),0),0)</f>
        <v>0</v>
      </c>
      <c r="N64" s="229">
        <f>IF(10&lt;=$C$41,'Pro Forma'!N21+IF(10=$C$41,('Pro Forma'!N21/$C$42)*(1-$C$43),0),0)</f>
        <v>0</v>
      </c>
      <c r="O64" s="215"/>
    </row>
    <row r="65" spans="2:15" ht="13" customHeight="1" x14ac:dyDescent="0.2">
      <c r="B65" s="230" t="s">
        <v>125</v>
      </c>
      <c r="C65" s="204"/>
      <c r="D65" s="231">
        <f>'Pro Forma'!D21</f>
        <v>243415.22400000002</v>
      </c>
      <c r="E65" s="231">
        <f>'Pro Forma'!E21</f>
        <v>250717.68072</v>
      </c>
      <c r="F65" s="231">
        <f>'Pro Forma'!F21</f>
        <v>258239.21114160004</v>
      </c>
      <c r="G65" s="231">
        <f>'Pro Forma'!G21</f>
        <v>263999.93200552801</v>
      </c>
      <c r="H65" s="231">
        <f>'Pro Forma'!H21</f>
        <v>269883.81310861581</v>
      </c>
      <c r="I65" s="231">
        <f>'Pro Forma'!I21</f>
        <v>275893.30772336933</v>
      </c>
      <c r="J65" s="231">
        <f>'Pro Forma'!J21</f>
        <v>279891.7164091352</v>
      </c>
      <c r="K65" s="231">
        <f>'Pro Forma'!K21</f>
        <v>283924.50954455551</v>
      </c>
      <c r="L65" s="231">
        <f>'Pro Forma'!L21</f>
        <v>287991.00730690121</v>
      </c>
      <c r="M65" s="231">
        <f>'Pro Forma'!M21</f>
        <v>292090.47525163752</v>
      </c>
      <c r="N65" s="231">
        <f>'Pro Forma'!N21</f>
        <v>296222.12198922655</v>
      </c>
      <c r="O65" s="215"/>
    </row>
    <row r="66" spans="2:15" ht="16" x14ac:dyDescent="0.2">
      <c r="B66" s="204"/>
      <c r="C66" s="204"/>
      <c r="O66" s="215"/>
    </row>
    <row r="67" spans="2:15" ht="15" customHeight="1" x14ac:dyDescent="0.2">
      <c r="B67" s="152" t="s">
        <v>126</v>
      </c>
      <c r="C67" s="153">
        <f>IFERROR(IRR(D64:N64),"n/a")</f>
        <v>0.15606395452034394</v>
      </c>
      <c r="O67" s="215"/>
    </row>
    <row r="68" spans="2:15" ht="15" customHeight="1" x14ac:dyDescent="0.2">
      <c r="B68" s="204" t="s">
        <v>127</v>
      </c>
      <c r="C68" s="232">
        <f>IFERROR(SUM(E64:N64)/(-D64),"n/a")</f>
        <v>1.8911836892056149</v>
      </c>
      <c r="O68" s="215"/>
    </row>
    <row r="69" spans="2:15" ht="15" customHeight="1" x14ac:dyDescent="0.2">
      <c r="B69" s="204" t="s">
        <v>128</v>
      </c>
      <c r="C69" s="206">
        <f>-D64</f>
        <v>2698000</v>
      </c>
      <c r="O69" s="215"/>
    </row>
    <row r="70" spans="2:15" ht="16" x14ac:dyDescent="0.2">
      <c r="B70" s="204"/>
      <c r="C70" s="204"/>
      <c r="O70" s="215"/>
    </row>
    <row r="71" spans="2:15" ht="17" customHeight="1" x14ac:dyDescent="0.2">
      <c r="B71" s="126" t="s">
        <v>129</v>
      </c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215"/>
    </row>
    <row r="72" spans="2:15" ht="15" customHeight="1" x14ac:dyDescent="0.2">
      <c r="B72" s="140" t="s">
        <v>115</v>
      </c>
      <c r="C72" s="142">
        <f>C50</f>
        <v>1034800</v>
      </c>
      <c r="O72" s="215"/>
    </row>
    <row r="73" spans="2:15" ht="15" customHeight="1" x14ac:dyDescent="0.2">
      <c r="B73" s="146" t="s">
        <v>130</v>
      </c>
      <c r="C73" s="148">
        <f>SUM(E54:N54)</f>
        <v>2761548.5168624041</v>
      </c>
      <c r="O73" s="215"/>
    </row>
    <row r="74" spans="2:15" ht="15" customHeight="1" x14ac:dyDescent="0.2">
      <c r="B74" s="140" t="s">
        <v>122</v>
      </c>
      <c r="C74" s="144">
        <f>C73-C72</f>
        <v>1726748.5168624041</v>
      </c>
      <c r="O74" s="215"/>
    </row>
    <row r="75" spans="2:15" ht="15" customHeight="1" x14ac:dyDescent="0.2">
      <c r="B75" s="146" t="s">
        <v>131</v>
      </c>
      <c r="C75" s="148">
        <f>C72*Assumptions!C50*C41</f>
        <v>413920</v>
      </c>
      <c r="O75" s="215"/>
    </row>
    <row r="76" spans="2:15" ht="15" customHeight="1" x14ac:dyDescent="0.2">
      <c r="B76" s="140" t="s">
        <v>132</v>
      </c>
      <c r="C76" s="144">
        <f>MAX(C74-C75,0)</f>
        <v>1312828.5168624041</v>
      </c>
      <c r="O76" s="215"/>
    </row>
    <row r="77" spans="2:15" ht="15" customHeight="1" x14ac:dyDescent="0.2">
      <c r="B77" s="146" t="s">
        <v>133</v>
      </c>
      <c r="C77" s="148">
        <f>C76*Assumptions!C51</f>
        <v>262565.70337248081</v>
      </c>
      <c r="O77" s="215"/>
    </row>
    <row r="78" spans="2:15" ht="15" customHeight="1" x14ac:dyDescent="0.2">
      <c r="B78" s="140" t="s">
        <v>134</v>
      </c>
      <c r="C78" s="142">
        <f>C72*Assumptions!C49+C77</f>
        <v>366045.70337248081</v>
      </c>
      <c r="O78" s="215"/>
    </row>
    <row r="79" spans="2:15" ht="15" customHeight="1" x14ac:dyDescent="0.2">
      <c r="B79" s="146" t="s">
        <v>135</v>
      </c>
      <c r="C79" s="148">
        <f>C73-C78</f>
        <v>2395502.8134899233</v>
      </c>
      <c r="O79" s="215"/>
    </row>
    <row r="80" spans="2:15" ht="16" x14ac:dyDescent="0.2">
      <c r="B80" s="152" t="s">
        <v>136</v>
      </c>
      <c r="C80" s="154">
        <f>IFERROR(C79/(C72*(1-Assumptions!C49)),"n/a")</f>
        <v>2.5721586710152509</v>
      </c>
      <c r="O80" s="215"/>
    </row>
    <row r="81" spans="2:15" ht="15.75" customHeight="1" x14ac:dyDescent="0.2"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</row>
  </sheetData>
  <conditionalFormatting sqref="C57">
    <cfRule type="cellIs" dxfId="4" priority="1" operator="greaterThanOrEqual">
      <formula>0.1</formula>
    </cfRule>
    <cfRule type="cellIs" dxfId="3" priority="2" operator="between">
      <formula>0.08</formula>
      <formula>0.1</formula>
    </cfRule>
    <cfRule type="cellIs" dxfId="2" priority="3" operator="lessThan">
      <formula>0.08</formula>
    </cfRule>
  </conditionalFormatting>
  <conditionalFormatting sqref="C67">
    <cfRule type="cellIs" dxfId="1" priority="4" operator="greaterThanOrEqual">
      <formula>0.08</formula>
    </cfRule>
    <cfRule type="cellIs" dxfId="0" priority="5" operator="lessThan">
      <formula>0.08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166"/>
  <sheetViews>
    <sheetView zoomScale="125" zoomScaleNormal="100" workbookViewId="0">
      <selection activeCell="P46" sqref="P46"/>
    </sheetView>
    <sheetView workbookViewId="1"/>
  </sheetViews>
  <sheetFormatPr baseColWidth="10" defaultColWidth="10.6640625" defaultRowHeight="15.75" customHeight="1" x14ac:dyDescent="0.2"/>
  <cols>
    <col min="1" max="1" width="4" style="201" customWidth="1"/>
    <col min="2" max="2" width="36.6640625" style="201" customWidth="1"/>
    <col min="3" max="3" width="18.33203125" style="201" customWidth="1"/>
    <col min="4" max="4" width="16.6640625" style="201" customWidth="1"/>
    <col min="5" max="5" width="24.5" style="201" bestFit="1" customWidth="1"/>
    <col min="6" max="6" width="21.5" style="201" bestFit="1" customWidth="1"/>
    <col min="7" max="9" width="11.5" style="201" bestFit="1" customWidth="1"/>
    <col min="10" max="14" width="15" style="201" customWidth="1"/>
    <col min="15" max="16384" width="10.6640625" style="201"/>
  </cols>
  <sheetData>
    <row r="1" spans="2:23" ht="22" customHeight="1" x14ac:dyDescent="0.2">
      <c r="B1" s="219" t="s">
        <v>137</v>
      </c>
    </row>
    <row r="2" spans="2:23" ht="21" customHeight="1" x14ac:dyDescent="0.25">
      <c r="B2" s="16" t="s">
        <v>138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4"/>
      <c r="P2" s="17"/>
    </row>
    <row r="3" spans="2:23" ht="16" x14ac:dyDescent="0.2">
      <c r="B3" s="18" t="s">
        <v>139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4"/>
      <c r="P3" s="17"/>
      <c r="Q3" s="215"/>
      <c r="R3" s="215"/>
      <c r="S3" s="215"/>
      <c r="T3" s="215"/>
      <c r="U3" s="215"/>
      <c r="V3" s="215"/>
      <c r="W3" s="215"/>
    </row>
    <row r="4" spans="2:23" ht="11" customHeight="1" x14ac:dyDescent="0.2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4"/>
      <c r="P4" s="17"/>
      <c r="Q4" s="215"/>
      <c r="R4" s="215"/>
      <c r="S4" s="215"/>
      <c r="T4" s="215"/>
      <c r="U4" s="215"/>
      <c r="V4" s="215"/>
      <c r="W4" s="215"/>
    </row>
    <row r="5" spans="2:23" ht="16" x14ac:dyDescent="0.2">
      <c r="B5" s="267" t="s">
        <v>567</v>
      </c>
      <c r="C5" s="9"/>
      <c r="E5" s="267" t="s">
        <v>570</v>
      </c>
      <c r="F5" s="9"/>
      <c r="O5" s="14"/>
      <c r="P5" s="17"/>
      <c r="Q5" s="215"/>
      <c r="R5" s="215"/>
      <c r="S5" s="215"/>
      <c r="T5" s="215"/>
      <c r="U5" s="215"/>
      <c r="V5" s="215"/>
      <c r="W5" s="215"/>
    </row>
    <row r="6" spans="2:23" ht="16" x14ac:dyDescent="0.2">
      <c r="B6" s="268" t="s">
        <v>568</v>
      </c>
      <c r="C6" s="269" t="s">
        <v>569</v>
      </c>
      <c r="E6" s="268" t="s">
        <v>568</v>
      </c>
      <c r="F6" s="269" t="s">
        <v>569</v>
      </c>
      <c r="O6" s="14"/>
      <c r="P6" s="17"/>
      <c r="Q6" s="215"/>
      <c r="R6" s="215"/>
      <c r="S6" s="215"/>
      <c r="T6" s="215"/>
      <c r="U6" s="215"/>
      <c r="V6" s="215"/>
      <c r="W6" s="215"/>
    </row>
    <row r="7" spans="2:23" ht="16" x14ac:dyDescent="0.2">
      <c r="B7" s="270" t="s">
        <v>119</v>
      </c>
      <c r="C7" s="271">
        <f>'Pro Forma'!C57</f>
        <v>0.25593796868384744</v>
      </c>
      <c r="E7" s="270" t="s">
        <v>126</v>
      </c>
      <c r="F7" s="271">
        <f>'Pro Forma'!C67</f>
        <v>0.15606395452034394</v>
      </c>
      <c r="O7" s="14"/>
      <c r="P7" s="17"/>
      <c r="Q7" s="215"/>
      <c r="R7" s="215"/>
      <c r="S7" s="215"/>
      <c r="T7" s="215"/>
      <c r="U7" s="215"/>
      <c r="V7" s="215"/>
      <c r="W7" s="215"/>
    </row>
    <row r="8" spans="2:23" ht="16" x14ac:dyDescent="0.2">
      <c r="B8" s="272" t="s">
        <v>120</v>
      </c>
      <c r="C8" s="273">
        <f>'Pro Forma'!C58</f>
        <v>2.6686785048921569</v>
      </c>
      <c r="E8" s="272" t="s">
        <v>120</v>
      </c>
      <c r="F8" s="273">
        <f>'Pro Forma'!C68</f>
        <v>1.8911836892056149</v>
      </c>
      <c r="O8" s="14"/>
      <c r="P8" s="17"/>
      <c r="Q8" s="215"/>
      <c r="R8" s="215"/>
      <c r="S8" s="215"/>
      <c r="T8" s="215"/>
      <c r="U8" s="215"/>
      <c r="V8" s="215"/>
      <c r="W8" s="215"/>
    </row>
    <row r="9" spans="2:23" ht="16" x14ac:dyDescent="0.2">
      <c r="B9" s="270" t="s">
        <v>121</v>
      </c>
      <c r="C9" s="271">
        <f>'Pro Forma'!C59</f>
        <v>0.1387822195768397</v>
      </c>
      <c r="E9" s="270" t="s">
        <v>571</v>
      </c>
      <c r="F9" s="271">
        <f>AVERAGE('Pro Forma'!E33:INDEX('Pro Forma'!E33:N33,1,'Pro Forma'!C41))</f>
        <v>0.1387822195768397</v>
      </c>
      <c r="O9" s="14"/>
      <c r="P9" s="17"/>
      <c r="Q9" s="215"/>
      <c r="R9" s="215"/>
      <c r="S9" s="215"/>
      <c r="T9" s="215"/>
      <c r="U9" s="215"/>
      <c r="V9" s="215"/>
      <c r="W9" s="215"/>
    </row>
    <row r="10" spans="2:23" ht="16" x14ac:dyDescent="0.2">
      <c r="B10" s="274" t="s">
        <v>115</v>
      </c>
      <c r="C10" s="275">
        <f>'Pro Forma'!C50</f>
        <v>1034800</v>
      </c>
      <c r="E10" s="274" t="s">
        <v>572</v>
      </c>
      <c r="F10" s="275">
        <f>'Pro Forma'!C69</f>
        <v>2698000</v>
      </c>
      <c r="O10" s="14"/>
      <c r="P10" s="17"/>
      <c r="Q10" s="215"/>
      <c r="R10" s="215"/>
      <c r="S10" s="215"/>
      <c r="T10" s="215"/>
      <c r="U10" s="215"/>
      <c r="V10" s="215"/>
      <c r="W10" s="215"/>
    </row>
    <row r="11" spans="2:23" ht="16" x14ac:dyDescent="0.2">
      <c r="B11" s="270" t="s">
        <v>122</v>
      </c>
      <c r="C11" s="288">
        <f>'Pro Forma'!C60</f>
        <v>1008689.3127718351</v>
      </c>
      <c r="E11" s="270" t="s">
        <v>122</v>
      </c>
      <c r="F11" s="288">
        <f>'Pro Forma'!C74</f>
        <v>1726748.5168624041</v>
      </c>
      <c r="O11" s="14"/>
      <c r="P11" s="17"/>
      <c r="Q11" s="215"/>
      <c r="R11" s="215"/>
      <c r="S11" s="215"/>
      <c r="T11" s="215"/>
      <c r="U11" s="215"/>
      <c r="V11" s="215"/>
      <c r="W11" s="215"/>
    </row>
    <row r="12" spans="2:23" ht="16" x14ac:dyDescent="0.2">
      <c r="B12" s="276" t="s">
        <v>136</v>
      </c>
      <c r="C12" s="277">
        <f>'Pro Forma'!C80</f>
        <v>2.5721586710152509</v>
      </c>
      <c r="E12" s="276" t="s">
        <v>573</v>
      </c>
      <c r="F12" s="277">
        <f>'Pro Forma'!C68</f>
        <v>1.8911836892056149</v>
      </c>
      <c r="O12" s="14"/>
      <c r="P12" s="17"/>
      <c r="Q12" s="215"/>
      <c r="R12" s="215"/>
      <c r="S12" s="215"/>
      <c r="T12" s="215"/>
      <c r="U12" s="215"/>
      <c r="V12" s="215"/>
      <c r="W12" s="215"/>
    </row>
    <row r="13" spans="2:23" ht="16" customHeight="1" x14ac:dyDescent="0.2">
      <c r="O13" s="14"/>
      <c r="P13" s="17"/>
      <c r="Q13" s="215"/>
      <c r="R13" s="215"/>
      <c r="S13" s="215"/>
      <c r="T13" s="215"/>
      <c r="U13" s="215"/>
      <c r="V13" s="215"/>
      <c r="W13" s="215"/>
    </row>
    <row r="14" spans="2:23" ht="21.75" customHeight="1" x14ac:dyDescent="0.2">
      <c r="B14" s="9" t="s">
        <v>142</v>
      </c>
      <c r="C14" s="4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4"/>
      <c r="P14" s="17"/>
      <c r="Q14" s="215"/>
      <c r="R14" s="215"/>
      <c r="S14" s="215"/>
      <c r="T14" s="215"/>
      <c r="U14" s="215"/>
      <c r="V14" s="215"/>
      <c r="W14" s="215"/>
    </row>
    <row r="15" spans="2:23" ht="21.75" customHeight="1" x14ac:dyDescent="0.2">
      <c r="B15" s="38" t="s">
        <v>143</v>
      </c>
      <c r="C15" s="44"/>
      <c r="D15" s="39">
        <v>1</v>
      </c>
      <c r="E15" s="39">
        <v>2</v>
      </c>
      <c r="F15" s="39">
        <v>3</v>
      </c>
      <c r="G15" s="39">
        <v>4</v>
      </c>
      <c r="H15" s="39">
        <v>5</v>
      </c>
      <c r="I15" s="39">
        <v>6</v>
      </c>
      <c r="J15" s="39">
        <v>7</v>
      </c>
      <c r="K15" s="39">
        <v>8</v>
      </c>
      <c r="L15" s="39">
        <v>9</v>
      </c>
      <c r="M15" s="39">
        <v>10</v>
      </c>
      <c r="N15" s="39" t="s">
        <v>144</v>
      </c>
      <c r="O15" s="14"/>
      <c r="P15" s="17"/>
      <c r="Q15" s="215"/>
      <c r="R15" s="215"/>
      <c r="S15" s="215"/>
      <c r="T15" s="215"/>
      <c r="U15" s="215"/>
      <c r="V15" s="215"/>
      <c r="W15" s="215"/>
    </row>
    <row r="16" spans="2:23" ht="21.75" customHeight="1" x14ac:dyDescent="0.2">
      <c r="B16" s="40" t="s">
        <v>576</v>
      </c>
      <c r="C16" s="41">
        <f>'Pro Forma'!D28</f>
        <v>134215.22400000002</v>
      </c>
      <c r="D16" s="45">
        <f>'Pro Forma'!E28</f>
        <v>141517.68072</v>
      </c>
      <c r="E16" s="45">
        <f>'Pro Forma'!F28</f>
        <v>149039.21114160004</v>
      </c>
      <c r="F16" s="45">
        <f>'Pro Forma'!G28</f>
        <v>136575.01846934651</v>
      </c>
      <c r="G16" s="45">
        <f>'Pro Forma'!H28</f>
        <v>142458.89957243431</v>
      </c>
      <c r="H16" s="45">
        <f>'Pro Forma'!I28</f>
        <v>148468.39418718783</v>
      </c>
      <c r="I16" s="45">
        <f>'Pro Forma'!J28</f>
        <v>152466.8028729537</v>
      </c>
      <c r="J16" s="45">
        <f>'Pro Forma'!K28</f>
        <v>156499.59600837401</v>
      </c>
      <c r="K16" s="45">
        <f>'Pro Forma'!L28</f>
        <v>160566.09377071972</v>
      </c>
      <c r="L16" s="45">
        <f>'Pro Forma'!M28</f>
        <v>164665.56171545602</v>
      </c>
      <c r="M16" s="45">
        <f>'Pro Forma'!N28</f>
        <v>168797.20845304505</v>
      </c>
      <c r="N16" s="45">
        <f>AVERAGE(D16:M16)</f>
        <v>152105.44669111172</v>
      </c>
      <c r="O16" s="14"/>
      <c r="P16" s="17"/>
      <c r="Q16" s="215"/>
      <c r="R16" s="215"/>
      <c r="S16" s="215"/>
      <c r="T16" s="215"/>
      <c r="U16" s="215"/>
      <c r="V16" s="215"/>
      <c r="W16" s="215"/>
    </row>
    <row r="17" spans="2:23" ht="21.75" customHeight="1" x14ac:dyDescent="0.2">
      <c r="B17" s="42" t="s">
        <v>145</v>
      </c>
      <c r="C17" s="46" t="s">
        <v>146</v>
      </c>
      <c r="D17" s="47">
        <f>D16/'Pro Forma'!C50</f>
        <v>0.13675848542713567</v>
      </c>
      <c r="E17" s="47">
        <f>E16/'Pro Forma'!C50</f>
        <v>0.14402706913567842</v>
      </c>
      <c r="F17" s="47">
        <f>F16/'Pro Forma'!C50</f>
        <v>0.13198204336040445</v>
      </c>
      <c r="G17" s="47">
        <f>G16/'Pro Forma'!C50</f>
        <v>0.137668051384262</v>
      </c>
      <c r="H17" s="47">
        <f>H16/'Pro Forma'!C50</f>
        <v>0.14347544857671804</v>
      </c>
      <c r="I17" s="47">
        <f>I16/'Pro Forma'!C50</f>
        <v>0.14733939203029928</v>
      </c>
      <c r="J17" s="47">
        <f>J16/'Pro Forma'!C50</f>
        <v>0.151236563595259</v>
      </c>
      <c r="K17" s="47">
        <f>K16/'Pro Forma'!C50</f>
        <v>0.15516630631109365</v>
      </c>
      <c r="L17" s="47">
        <f>L16/'Pro Forma'!C50</f>
        <v>0.1591279104324082</v>
      </c>
      <c r="M17" s="47">
        <f>M16/'Pro Forma'!C50</f>
        <v>0.16312061118384716</v>
      </c>
      <c r="N17" s="47">
        <f>AVERAGE(D17:INDEX(D17:M17,1,'Pro Forma'!C41))</f>
        <v>0.1387822195768397</v>
      </c>
      <c r="O17" s="14"/>
      <c r="P17" s="17"/>
      <c r="Q17" s="215"/>
      <c r="R17" s="215"/>
      <c r="S17" s="215"/>
      <c r="T17" s="215"/>
      <c r="U17" s="215"/>
      <c r="V17" s="215"/>
      <c r="W17" s="215"/>
    </row>
    <row r="18" spans="2:23" ht="21.75" customHeight="1" x14ac:dyDescent="0.2">
      <c r="B18" s="40" t="s">
        <v>147</v>
      </c>
      <c r="C18" s="41">
        <f>'Pro Forma'!D21</f>
        <v>243415.22400000002</v>
      </c>
      <c r="D18" s="45">
        <f>'Pro Forma'!E21</f>
        <v>250717.68072</v>
      </c>
      <c r="E18" s="45">
        <f>'Pro Forma'!F21</f>
        <v>258239.21114160004</v>
      </c>
      <c r="F18" s="45">
        <f>'Pro Forma'!G21</f>
        <v>263999.93200552801</v>
      </c>
      <c r="G18" s="45">
        <f>'Pro Forma'!H21</f>
        <v>269883.81310861581</v>
      </c>
      <c r="H18" s="45">
        <f>'Pro Forma'!I21</f>
        <v>275893.30772336933</v>
      </c>
      <c r="I18" s="45">
        <f>'Pro Forma'!J21</f>
        <v>279891.7164091352</v>
      </c>
      <c r="J18" s="45">
        <f>'Pro Forma'!K21</f>
        <v>283924.50954455551</v>
      </c>
      <c r="K18" s="45">
        <f>'Pro Forma'!L21</f>
        <v>287991.00730690121</v>
      </c>
      <c r="L18" s="45">
        <f>'Pro Forma'!M21</f>
        <v>292090.47525163752</v>
      </c>
      <c r="M18" s="45">
        <f>'Pro Forma'!N21</f>
        <v>296222.12198922655</v>
      </c>
      <c r="N18" s="45">
        <f>AVERAGE(D18:M18)</f>
        <v>275885.37752005691</v>
      </c>
      <c r="O18" s="14"/>
      <c r="P18" s="17"/>
      <c r="Q18" s="215"/>
      <c r="R18" s="215"/>
      <c r="S18" s="215"/>
      <c r="T18" s="215"/>
      <c r="U18" s="215"/>
      <c r="V18" s="215"/>
      <c r="W18" s="215"/>
    </row>
    <row r="19" spans="2:23" ht="21.75" customHeight="1" x14ac:dyDescent="0.2">
      <c r="B19" s="42" t="s">
        <v>148</v>
      </c>
      <c r="C19" s="46" t="s">
        <v>146</v>
      </c>
      <c r="D19" s="47">
        <f>D18/'Pro Forma'!C69</f>
        <v>9.2927235255744992E-2</v>
      </c>
      <c r="E19" s="47">
        <f>E18/'Pro Forma'!C69</f>
        <v>9.5715052313417356E-2</v>
      </c>
      <c r="F19" s="47">
        <f>F18/'Pro Forma'!C69</f>
        <v>9.7850234249639734E-2</v>
      </c>
      <c r="G19" s="47">
        <f>G18/'Pro Forma'!C69</f>
        <v>0.10003106490311928</v>
      </c>
      <c r="H19" s="47">
        <f>H18/'Pro Forma'!C69</f>
        <v>0.10225845356685298</v>
      </c>
      <c r="I19" s="47">
        <f>I18/'Pro Forma'!C69</f>
        <v>0.1037404434429708</v>
      </c>
      <c r="J19" s="47">
        <f>J18/'Pro Forma'!C69</f>
        <v>0.10523517774075444</v>
      </c>
      <c r="K19" s="47">
        <f>K18/'Pro Forma'!C69</f>
        <v>0.10674240448736146</v>
      </c>
      <c r="L19" s="47">
        <f>L18/'Pro Forma'!C69</f>
        <v>0.10826185146465438</v>
      </c>
      <c r="M19" s="47">
        <f>M18/'Pro Forma'!C69</f>
        <v>0.10979322534811956</v>
      </c>
      <c r="N19" s="47">
        <f>AVERAGE(D19:M19)</f>
        <v>0.1022555142772635</v>
      </c>
      <c r="O19" s="14"/>
      <c r="P19" s="17"/>
      <c r="Q19" s="215"/>
      <c r="R19" s="215"/>
      <c r="S19" s="215"/>
      <c r="T19" s="215"/>
      <c r="U19" s="215"/>
      <c r="V19" s="215"/>
      <c r="W19" s="215"/>
    </row>
    <row r="20" spans="2:23" ht="21.75" customHeight="1" x14ac:dyDescent="0.2">
      <c r="B20" s="40" t="s">
        <v>102</v>
      </c>
      <c r="C20" s="48" t="s">
        <v>146</v>
      </c>
      <c r="D20" s="49">
        <f>'Pro Forma'!E32</f>
        <v>2.2959494571428571</v>
      </c>
      <c r="E20" s="49">
        <f>'Pro Forma'!F32</f>
        <v>2.3648279408571433</v>
      </c>
      <c r="F20" s="49">
        <f>'Pro Forma'!G32</f>
        <v>2.0718078174765009</v>
      </c>
      <c r="G20" s="49">
        <f>'Pro Forma'!H32</f>
        <v>2.1179830978028016</v>
      </c>
      <c r="H20" s="49">
        <f>'Pro Forma'!I32</f>
        <v>2.1651441626839416</v>
      </c>
      <c r="I20" s="49">
        <f>'Pro Forma'!J32</f>
        <v>2.1965227100559241</v>
      </c>
      <c r="J20" s="49">
        <f>'Pro Forma'!K32</f>
        <v>2.2281710982988967</v>
      </c>
      <c r="K20" s="49">
        <f>'Pro Forma'!L32</f>
        <v>2.2600839923279836</v>
      </c>
      <c r="L20" s="49">
        <f>'Pro Forma'!M32</f>
        <v>2.2922556283995457</v>
      </c>
      <c r="M20" s="49">
        <f>'Pro Forma'!N32</f>
        <v>2.3246797958792897</v>
      </c>
      <c r="N20" s="49">
        <f>AVERAGE(D20:M20)</f>
        <v>2.2317425700924884</v>
      </c>
      <c r="O20" s="14"/>
      <c r="P20" s="17"/>
      <c r="Q20" s="215"/>
      <c r="R20" s="215"/>
      <c r="S20" s="215"/>
      <c r="T20" s="215"/>
      <c r="U20" s="215"/>
      <c r="V20" s="215"/>
      <c r="W20" s="215"/>
    </row>
    <row r="21" spans="2:23" ht="21.75" customHeight="1" x14ac:dyDescent="0.2">
      <c r="B21" s="50" t="s">
        <v>149</v>
      </c>
      <c r="C21" s="51" t="s">
        <v>150</v>
      </c>
      <c r="D21" s="52">
        <f>SUM(D16:D16)/'Pro Forma'!C50</f>
        <v>0.13675848542713567</v>
      </c>
      <c r="E21" s="52">
        <f>SUM(D16:E16)/'Pro Forma'!C50</f>
        <v>0.28078555456281412</v>
      </c>
      <c r="F21" s="52">
        <f>SUM(D16:F16)/'Pro Forma'!C50</f>
        <v>0.41276759792321854</v>
      </c>
      <c r="G21" s="52">
        <f>SUM(D16:G16)/'Pro Forma'!C50</f>
        <v>0.55043564930748057</v>
      </c>
      <c r="H21" s="52">
        <f>SUM(D16:H16)/'Pro Forma'!C50</f>
        <v>0.69391109788419858</v>
      </c>
      <c r="I21" s="52">
        <f>SUM(D16:I16)/'Pro Forma'!C50</f>
        <v>0.84125048991449791</v>
      </c>
      <c r="J21" s="52">
        <f>SUM(D16:J16)/'Pro Forma'!C50</f>
        <v>0.99248705350975686</v>
      </c>
      <c r="K21" s="52">
        <f>SUM(D16:K16)/'Pro Forma'!C50</f>
        <v>1.1476533598208505</v>
      </c>
      <c r="L21" s="52">
        <f>SUM(D16:L16)/'Pro Forma'!C50</f>
        <v>1.3067812702532586</v>
      </c>
      <c r="M21" s="52">
        <f>SUM(D16:M16)/'Pro Forma'!C50</f>
        <v>1.4699018814371059</v>
      </c>
      <c r="N21" s="52">
        <f>'Pro Forma'!C58</f>
        <v>2.6686785048921569</v>
      </c>
      <c r="O21" s="14"/>
      <c r="P21" s="17"/>
      <c r="Q21" s="215"/>
      <c r="R21" s="215"/>
      <c r="S21" s="215"/>
      <c r="T21" s="215"/>
      <c r="U21" s="215"/>
      <c r="V21" s="215"/>
      <c r="W21" s="215"/>
    </row>
    <row r="22" spans="2:23" ht="16" customHeight="1" x14ac:dyDescent="0.2">
      <c r="B22" s="53" t="s">
        <v>151</v>
      </c>
      <c r="C22" s="54"/>
      <c r="D22" s="291">
        <f>IF(1='Pro Forma'!$C$41,'Pro Forma'!C49/(D16+'Pro Forma'!C49),0)</f>
        <v>0</v>
      </c>
      <c r="E22" s="291">
        <f>IF(2='Pro Forma'!$C$41,'Pro Forma'!C49/(E16+'Pro Forma'!C49),0)</f>
        <v>0</v>
      </c>
      <c r="F22" s="291">
        <f>IF(3='Pro Forma'!$C$41,'Pro Forma'!C49/(F16+'Pro Forma'!C49),0)</f>
        <v>0</v>
      </c>
      <c r="G22" s="291">
        <f>IF(4='Pro Forma'!$C$41,'Pro Forma'!C49/(G16+'Pro Forma'!C49),0)</f>
        <v>0</v>
      </c>
      <c r="H22" s="292">
        <f>IF(5='Pro Forma'!$C$41,'Pro Forma'!C49/(H16+'Pro Forma'!C49),0)</f>
        <v>0.93226676148183385</v>
      </c>
      <c r="I22" s="291">
        <f>IF(6='Pro Forma'!$C$41,'Pro Forma'!C49/(I16+'Pro Forma'!C49),0)</f>
        <v>0</v>
      </c>
      <c r="J22" s="291">
        <f>IF(7='Pro Forma'!$C$41,'Pro Forma'!C49/(J16+'Pro Forma'!C49),0)</f>
        <v>0</v>
      </c>
      <c r="K22" s="291">
        <f>IF(8='Pro Forma'!$C$41,'Pro Forma'!C49/(K16+'Pro Forma'!C49),0)</f>
        <v>0</v>
      </c>
      <c r="L22" s="291">
        <f>IF(9='Pro Forma'!$C$41,'Pro Forma'!C49/(L16+'Pro Forma'!C49),0)</f>
        <v>0</v>
      </c>
      <c r="M22" s="291">
        <f>IF(10='Pro Forma'!$C$41,'Pro Forma'!C49/(M16+'Pro Forma'!C49),0)</f>
        <v>0</v>
      </c>
      <c r="N22" s="291">
        <f>'Pro Forma'!C49/SUM('Pro Forma'!E54:N54)</f>
        <v>0.73997950798039636</v>
      </c>
      <c r="O22" s="14"/>
      <c r="P22" s="17"/>
      <c r="Q22" s="215"/>
      <c r="R22" s="215"/>
      <c r="S22" s="215"/>
      <c r="T22" s="215"/>
      <c r="U22" s="215"/>
      <c r="V22" s="215"/>
      <c r="W22" s="215"/>
    </row>
    <row r="23" spans="2:23" ht="16" customHeight="1" x14ac:dyDescent="0.2">
      <c r="B23" s="289"/>
      <c r="C23" s="215"/>
      <c r="D23" s="215"/>
      <c r="E23" s="215"/>
      <c r="F23" s="215"/>
      <c r="G23" s="215"/>
      <c r="H23" s="290"/>
      <c r="I23" s="215"/>
      <c r="J23" s="215"/>
      <c r="K23" s="215"/>
      <c r="L23" s="215"/>
      <c r="M23" s="215"/>
      <c r="N23" s="215"/>
      <c r="O23" s="248"/>
      <c r="P23" s="215"/>
      <c r="Q23" s="215"/>
      <c r="R23" s="215"/>
      <c r="S23" s="215"/>
      <c r="T23" s="215"/>
      <c r="U23" s="215"/>
      <c r="V23" s="215"/>
      <c r="W23" s="215"/>
    </row>
    <row r="24" spans="2:23" ht="21.75" customHeight="1" x14ac:dyDescent="0.2">
      <c r="B24" s="267" t="s">
        <v>574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4"/>
      <c r="P24" s="17"/>
      <c r="Q24" s="215"/>
      <c r="R24" s="215"/>
      <c r="S24" s="215"/>
      <c r="T24" s="215"/>
      <c r="U24" s="215"/>
      <c r="V24" s="215"/>
      <c r="W24" s="215"/>
    </row>
    <row r="25" spans="2:23" ht="18" customHeight="1" x14ac:dyDescent="0.2">
      <c r="B25" s="278" t="s">
        <v>115</v>
      </c>
      <c r="C25" s="279">
        <f>'Pro Forma'!C50</f>
        <v>1034800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4"/>
      <c r="P25" s="17"/>
      <c r="Q25" s="215"/>
      <c r="R25" s="215"/>
      <c r="S25" s="215"/>
      <c r="T25" s="215"/>
      <c r="U25" s="215"/>
      <c r="V25" s="215"/>
      <c r="W25" s="215"/>
    </row>
    <row r="26" spans="2:23" ht="18" customHeight="1" x14ac:dyDescent="0.2">
      <c r="B26" s="280" t="s">
        <v>152</v>
      </c>
      <c r="C26" s="281">
        <f>'Pro Forma'!C73</f>
        <v>2761548.5168624041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4"/>
      <c r="P26" s="17"/>
      <c r="Q26" s="215"/>
      <c r="R26" s="215"/>
      <c r="S26" s="215"/>
      <c r="T26" s="215"/>
      <c r="U26" s="215"/>
      <c r="V26" s="215"/>
      <c r="W26" s="215"/>
    </row>
    <row r="27" spans="2:23" ht="18" customHeight="1" x14ac:dyDescent="0.2">
      <c r="B27" s="282" t="s">
        <v>141</v>
      </c>
      <c r="C27" s="283">
        <f>'Pro Forma'!C74</f>
        <v>1726748.5168624041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14"/>
      <c r="P27" s="17"/>
      <c r="Q27" s="215"/>
      <c r="R27" s="215"/>
      <c r="S27" s="215"/>
      <c r="T27" s="215"/>
      <c r="U27" s="215"/>
      <c r="V27" s="215"/>
      <c r="W27" s="215"/>
    </row>
    <row r="28" spans="2:23" ht="18" customHeight="1" x14ac:dyDescent="0.2">
      <c r="B28" s="284" t="s">
        <v>153</v>
      </c>
      <c r="C28" s="285">
        <f>'Pro Forma'!C75</f>
        <v>413920</v>
      </c>
      <c r="D28" s="55" t="s">
        <v>154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4"/>
      <c r="P28" s="17"/>
      <c r="Q28" s="215"/>
      <c r="R28" s="215"/>
      <c r="S28" s="215"/>
      <c r="T28" s="215"/>
      <c r="U28" s="215"/>
      <c r="V28" s="215"/>
      <c r="W28" s="215"/>
    </row>
    <row r="29" spans="2:23" ht="18" customHeight="1" x14ac:dyDescent="0.2">
      <c r="B29" s="280" t="s">
        <v>155</v>
      </c>
      <c r="C29" s="281">
        <f>'Pro Forma'!C76</f>
        <v>1312828.5168624041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4"/>
      <c r="P29" s="17"/>
      <c r="Q29" s="215"/>
      <c r="R29" s="215"/>
      <c r="S29" s="215"/>
      <c r="T29" s="215"/>
      <c r="U29" s="215"/>
      <c r="V29" s="215"/>
      <c r="W29" s="215"/>
    </row>
    <row r="30" spans="2:23" ht="18" customHeight="1" x14ac:dyDescent="0.2">
      <c r="B30" s="284" t="s">
        <v>156</v>
      </c>
      <c r="C30" s="285">
        <f>'Pro Forma'!C77</f>
        <v>262565.70337248081</v>
      </c>
      <c r="D30" s="55" t="s">
        <v>157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4"/>
      <c r="P30" s="17"/>
      <c r="Q30" s="215"/>
      <c r="R30" s="215"/>
      <c r="S30" s="215"/>
      <c r="T30" s="215"/>
      <c r="U30" s="215"/>
      <c r="V30" s="215"/>
      <c r="W30" s="215"/>
    </row>
    <row r="31" spans="2:23" ht="18" customHeight="1" x14ac:dyDescent="0.2">
      <c r="B31" s="282" t="s">
        <v>158</v>
      </c>
      <c r="C31" s="283">
        <f>'Pro Forma'!C78</f>
        <v>366045.70337248081</v>
      </c>
      <c r="D31" s="56" t="s">
        <v>159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14"/>
      <c r="P31" s="17"/>
      <c r="Q31" s="215"/>
      <c r="R31" s="215"/>
      <c r="S31" s="215"/>
      <c r="T31" s="215"/>
      <c r="U31" s="215"/>
      <c r="V31" s="215"/>
      <c r="W31" s="215"/>
    </row>
    <row r="32" spans="2:23" ht="18" customHeight="1" x14ac:dyDescent="0.2">
      <c r="B32" s="286" t="s">
        <v>160</v>
      </c>
      <c r="C32" s="287">
        <f>'Pro Forma'!C79</f>
        <v>2395502.8134899233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14"/>
      <c r="P32" s="17"/>
      <c r="Q32" s="215"/>
      <c r="R32" s="215"/>
      <c r="S32" s="215"/>
      <c r="T32" s="215"/>
      <c r="U32" s="215"/>
      <c r="V32" s="215"/>
      <c r="W32" s="215"/>
    </row>
    <row r="33" spans="2:23" ht="16" customHeight="1" x14ac:dyDescent="0.2">
      <c r="B33" s="276" t="s">
        <v>161</v>
      </c>
      <c r="C33" s="277">
        <f>'Pro Forma'!C80</f>
        <v>2.5721586710152509</v>
      </c>
      <c r="D33" s="24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4"/>
      <c r="P33" s="17"/>
      <c r="Q33" s="215"/>
      <c r="R33" s="215"/>
      <c r="S33" s="215"/>
      <c r="T33" s="215"/>
      <c r="U33" s="215"/>
      <c r="V33" s="215"/>
      <c r="W33" s="215"/>
    </row>
    <row r="34" spans="2:23" ht="16" customHeight="1" x14ac:dyDescent="0.2">
      <c r="B34" s="245"/>
      <c r="C34" s="246"/>
      <c r="D34" s="247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48"/>
      <c r="P34" s="215"/>
      <c r="Q34" s="215"/>
      <c r="R34" s="215"/>
      <c r="S34" s="215"/>
      <c r="T34" s="215"/>
      <c r="U34" s="215"/>
      <c r="V34" s="215"/>
      <c r="W34" s="215"/>
    </row>
    <row r="35" spans="2:23" ht="15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215"/>
      <c r="R35" s="215"/>
      <c r="S35" s="215"/>
      <c r="T35" s="215"/>
      <c r="U35" s="215"/>
      <c r="V35" s="220"/>
      <c r="W35" s="215"/>
    </row>
    <row r="36" spans="2:23" ht="15.75" customHeight="1" x14ac:dyDescent="0.2">
      <c r="B36" s="236" t="s">
        <v>162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215"/>
      <c r="R36" s="215"/>
      <c r="S36" s="215"/>
      <c r="T36" s="215"/>
      <c r="U36" s="215"/>
      <c r="V36" s="220"/>
      <c r="W36" s="215"/>
    </row>
    <row r="37" spans="2:23" ht="15.75" customHeight="1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215"/>
      <c r="R37" s="215"/>
      <c r="S37" s="215"/>
      <c r="T37" s="215"/>
      <c r="U37" s="215"/>
      <c r="V37" s="223"/>
      <c r="W37" s="215"/>
    </row>
    <row r="38" spans="2:23" ht="15.75" customHeight="1" x14ac:dyDescent="0.2">
      <c r="B38" s="130" t="s">
        <v>163</v>
      </c>
      <c r="C38" s="130"/>
      <c r="D38" s="130"/>
      <c r="E38" s="130"/>
      <c r="F38" s="130"/>
      <c r="G38" s="130"/>
      <c r="H38" s="130"/>
      <c r="I38" s="130"/>
      <c r="J38" s="130"/>
      <c r="K38" s="17"/>
      <c r="T38" s="215"/>
      <c r="U38" s="215"/>
      <c r="V38" s="220"/>
      <c r="W38" s="215"/>
    </row>
    <row r="39" spans="2:23" ht="15.75" customHeight="1" x14ac:dyDescent="0.2">
      <c r="B39" s="127" t="s">
        <v>164</v>
      </c>
      <c r="C39" s="127" t="s">
        <v>165</v>
      </c>
      <c r="D39" s="128">
        <v>0.05</v>
      </c>
      <c r="E39" s="128">
        <v>5.5E-2</v>
      </c>
      <c r="F39" s="127" t="s">
        <v>166</v>
      </c>
      <c r="G39" s="128">
        <v>6.5000000000000002E-2</v>
      </c>
      <c r="H39" s="128">
        <v>7.0000000000000007E-2</v>
      </c>
      <c r="I39" s="128">
        <v>7.4999999999999997E-2</v>
      </c>
      <c r="J39" s="128">
        <v>0.08</v>
      </c>
      <c r="K39" s="17"/>
      <c r="T39" s="215"/>
      <c r="U39" s="215"/>
      <c r="V39" s="222"/>
      <c r="W39" s="215"/>
    </row>
    <row r="40" spans="2:23" ht="15.75" customHeight="1" x14ac:dyDescent="0.2">
      <c r="B40" s="237">
        <v>0.05</v>
      </c>
      <c r="C40" s="238">
        <f>F73</f>
        <v>5364640.6866879994</v>
      </c>
      <c r="D40" s="293">
        <f>IFERROR(IRR(B88:G88),"n/a")</f>
        <v>1.3068215879553202E-2</v>
      </c>
      <c r="E40" s="293">
        <f>IFERROR(IRR(B89:G89),"n/a")</f>
        <v>-4.3130110287892376E-2</v>
      </c>
      <c r="F40" s="293">
        <f>IFERROR(IRR(B90:G90),"n/a")</f>
        <v>-0.10291802019444085</v>
      </c>
      <c r="G40" s="293">
        <f>IFERROR(IRR(B91:G91),"n/a")</f>
        <v>-0.17023834748731703</v>
      </c>
      <c r="H40" s="293">
        <f>IFERROR(IRR(B92:G92),"n/a")</f>
        <v>-0.2534540615648897</v>
      </c>
      <c r="I40" s="293">
        <f>IFERROR(IRR(B93:G93),"n/a")</f>
        <v>-0.38090692078862554</v>
      </c>
      <c r="J40" s="293" t="str">
        <f>IFERROR(IRR(B94:G94),"n/a")</f>
        <v>n/a</v>
      </c>
      <c r="K40" s="17"/>
      <c r="T40" s="215"/>
      <c r="U40" s="215"/>
      <c r="V40" s="220"/>
      <c r="W40" s="215"/>
    </row>
    <row r="41" spans="2:23" ht="15.75" customHeight="1" x14ac:dyDescent="0.2">
      <c r="B41" s="239">
        <v>0.06</v>
      </c>
      <c r="C41" s="240">
        <f>F74</f>
        <v>4512200.5722399997</v>
      </c>
      <c r="D41" s="293">
        <f>IFERROR(IRR(B95:G95),"n/a")</f>
        <v>0.1226686299254951</v>
      </c>
      <c r="E41" s="293">
        <f>IFERROR(IRR(B96:G96),"n/a")</f>
        <v>7.866948817737951E-2</v>
      </c>
      <c r="F41" s="293">
        <f>IFERROR(IRR(B97:G97),"n/a")</f>
        <v>3.534501109164756E-2</v>
      </c>
      <c r="G41" s="293">
        <f>IFERROR(IRR(B98:G98),"n/a")</f>
        <v>-8.2648870173358535E-3</v>
      </c>
      <c r="H41" s="293">
        <f>IFERROR(IRR(B99:G99),"n/a")</f>
        <v>-5.3260266794503464E-2</v>
      </c>
      <c r="I41" s="293">
        <f>IFERROR(IRR(B100:G100),"n/a")</f>
        <v>-0.1011025158374812</v>
      </c>
      <c r="J41" s="293">
        <f>IFERROR(IRR(B101:G101),"n/a")</f>
        <v>-0.15406476688077908</v>
      </c>
      <c r="K41" s="17"/>
      <c r="T41" s="215"/>
      <c r="U41" s="215"/>
      <c r="V41" s="220"/>
      <c r="W41" s="215"/>
    </row>
    <row r="42" spans="2:23" ht="15.75" customHeight="1" x14ac:dyDescent="0.2">
      <c r="B42" s="237">
        <v>7.0000000000000007E-2</v>
      </c>
      <c r="C42" s="238">
        <f>F75</f>
        <v>3903314.7762057139</v>
      </c>
      <c r="D42" s="293">
        <f>IFERROR(IRR(B102:G102),"n/a")</f>
        <v>0.20301960494029703</v>
      </c>
      <c r="E42" s="293">
        <f>IFERROR(IRR(B103:G103),"n/a")</f>
        <v>0.16441875407799844</v>
      </c>
      <c r="F42" s="293">
        <f>IFERROR(IRR(B104:G104),"n/a")</f>
        <v>0.12758112107102515</v>
      </c>
      <c r="G42" s="293">
        <f>IFERROR(IRR(B105:G105),"n/a")</f>
        <v>9.1903023511238802E-2</v>
      </c>
      <c r="H42" s="293">
        <f>IFERROR(IRR(B106:G106),"n/a")</f>
        <v>5.684506195951089E-2</v>
      </c>
      <c r="I42" s="293">
        <f>IFERROR(IRR(B107:G107),"n/a")</f>
        <v>2.1883145226415435E-2</v>
      </c>
      <c r="J42" s="293">
        <f>IFERROR(IRR(B108:G108),"n/a")</f>
        <v>-1.3541557324500797E-2</v>
      </c>
      <c r="K42" s="17"/>
      <c r="T42" s="215"/>
      <c r="U42" s="215"/>
      <c r="V42" s="220"/>
      <c r="W42" s="215"/>
    </row>
    <row r="43" spans="2:23" ht="15.75" customHeight="1" x14ac:dyDescent="0.2">
      <c r="B43" s="241">
        <v>0.08</v>
      </c>
      <c r="C43" s="242">
        <f>F76</f>
        <v>3446650.42918</v>
      </c>
      <c r="D43" s="293">
        <f>IFERROR(IRR(B109:G109),"n/a")</f>
        <v>0.26717316282762971</v>
      </c>
      <c r="E43" s="293">
        <f>IFERROR(IRR(B110:G110),"n/a")</f>
        <v>0.2316007589154061</v>
      </c>
      <c r="F43" s="293">
        <f>IFERROR(IRR(B111:G111),"n/a")</f>
        <v>0.19822686215752761</v>
      </c>
      <c r="G43" s="293">
        <f>IFERROR(IRR(B112:G112),"n/a")</f>
        <v>0.16653209535740543</v>
      </c>
      <c r="H43" s="293">
        <f>IFERROR(IRR(B113:G113),"n/a")</f>
        <v>0.13609399459910532</v>
      </c>
      <c r="I43" s="293">
        <f>IFERROR(IRR(B114:G114),"n/a")</f>
        <v>0.10655250533854255</v>
      </c>
      <c r="J43" s="293">
        <f>IFERROR(IRR(B115:G115),"n/a")</f>
        <v>7.7584535382620112E-2</v>
      </c>
      <c r="K43" s="17"/>
      <c r="T43" s="215"/>
      <c r="U43" s="215"/>
      <c r="V43" s="220"/>
      <c r="W43" s="215"/>
    </row>
    <row r="44" spans="2:23" ht="15.75" customHeight="1" x14ac:dyDescent="0.2">
      <c r="B44" s="237">
        <v>0.09</v>
      </c>
      <c r="C44" s="238">
        <f>F77</f>
        <v>3091467.0481599998</v>
      </c>
      <c r="D44" s="293">
        <f>IFERROR(IRR(B116:G116),"n/a")</f>
        <v>0.3208455378836883</v>
      </c>
      <c r="E44" s="293">
        <f>IFERROR(IRR(B117:G117),"n/a")</f>
        <v>0.28720125897569915</v>
      </c>
      <c r="F44" s="293">
        <f>IFERROR(IRR(B118:G118),"n/a")</f>
        <v>0.25597442913983914</v>
      </c>
      <c r="G44" s="293">
        <f>IFERROR(IRR(B119:G119),"n/a")</f>
        <v>0.22667126402292026</v>
      </c>
      <c r="H44" s="293">
        <f>IFERROR(IRR(B120:G120),"n/a")</f>
        <v>0.19890389978840983</v>
      </c>
      <c r="I44" s="293">
        <f>IFERROR(IRR(B121:G121),"n/a")</f>
        <v>0.17235794274243355</v>
      </c>
      <c r="J44" s="293">
        <f>IFERROR(IRR(B122:G122),"n/a")</f>
        <v>0.14677031926244544</v>
      </c>
      <c r="K44" s="17"/>
      <c r="T44" s="215"/>
      <c r="U44" s="215"/>
      <c r="V44" s="221"/>
      <c r="W44" s="215"/>
    </row>
    <row r="45" spans="2:23" ht="15.75" customHeight="1" x14ac:dyDescent="0.2">
      <c r="B45" s="241">
        <v>0.1</v>
      </c>
      <c r="C45" s="242">
        <f>F78</f>
        <v>2807320.3433439997</v>
      </c>
      <c r="D45" s="293">
        <f>IFERROR(IRR(B123:G123),"n/a")</f>
        <v>0.36709823440982947</v>
      </c>
      <c r="E45" s="293">
        <f>IFERROR(IRR(B124:G124),"n/a")</f>
        <v>0.33478387941683319</v>
      </c>
      <c r="F45" s="293">
        <f>IFERROR(IRR(B125:G125),"n/a")</f>
        <v>0.3050141178915593</v>
      </c>
      <c r="G45" s="293">
        <f>IFERROR(IRR(B126:G126),"n/a")</f>
        <v>0.27730311279763109</v>
      </c>
      <c r="H45" s="293">
        <f>IFERROR(IRR(B127:G127),"n/a")</f>
        <v>0.25127461772873083</v>
      </c>
      <c r="I45" s="293">
        <f>IFERROR(IRR(B128:G128),"n/a")</f>
        <v>0.22662971953868061</v>
      </c>
      <c r="J45" s="293">
        <f>IFERROR(IRR(B129:G129),"n/a")</f>
        <v>0.20312520378163046</v>
      </c>
      <c r="K45" s="17"/>
      <c r="T45" s="215"/>
      <c r="U45" s="215"/>
      <c r="V45" s="220"/>
      <c r="W45" s="215"/>
    </row>
    <row r="46" spans="2:23" ht="15.75" customHeight="1" x14ac:dyDescent="0.2">
      <c r="B46" s="237">
        <v>0.11</v>
      </c>
      <c r="C46" s="238">
        <f>F79</f>
        <v>2574836.6757672727</v>
      </c>
      <c r="D46" s="293">
        <f>IFERROR(IRR(B130:G130),"n/a")</f>
        <v>0.4077806429119204</v>
      </c>
      <c r="E46" s="293">
        <f>IFERROR(IRR(B131:G131),"n/a")</f>
        <v>0.37643631873862238</v>
      </c>
      <c r="F46" s="293">
        <f>IFERROR(IRR(B132:G132),"n/a")</f>
        <v>0.34771816258532962</v>
      </c>
      <c r="G46" s="293">
        <f>IFERROR(IRR(B133:G133),"n/a")</f>
        <v>0.32114192617870674</v>
      </c>
      <c r="H46" s="293">
        <f>IFERROR(IRR(B134:G134),"n/a")</f>
        <v>0.29633498690104521</v>
      </c>
      <c r="I46" s="293">
        <f>IFERROR(IRR(B135:G135),"n/a")</f>
        <v>0.27300390888417336</v>
      </c>
      <c r="J46" s="293">
        <f>IFERROR(IRR(B136:G136),"n/a")</f>
        <v>0.25091279000082678</v>
      </c>
      <c r="K46" s="17"/>
      <c r="T46" s="215"/>
      <c r="U46" s="215"/>
      <c r="V46" s="222"/>
      <c r="W46" s="215"/>
    </row>
    <row r="47" spans="2:23" ht="15.75" customHeight="1" x14ac:dyDescent="0.2">
      <c r="B47" s="241">
        <v>0.12</v>
      </c>
      <c r="C47" s="242">
        <f>F80</f>
        <v>2381100.2861199998</v>
      </c>
      <c r="D47" s="293">
        <f>IFERROR(IRR(B137:G137),"n/a")</f>
        <v>0.44410414193114556</v>
      </c>
      <c r="E47" s="293">
        <f>IFERROR(IRR(B138:G138),"n/a")</f>
        <v>0.41349737735347047</v>
      </c>
      <c r="F47" s="293">
        <f>IFERROR(IRR(B139:G139),"n/a")</f>
        <v>0.38557309432531506</v>
      </c>
      <c r="G47" s="293">
        <f>IFERROR(IRR(B140:G140),"n/a")</f>
        <v>0.35984610934684147</v>
      </c>
      <c r="H47" s="293">
        <f>IFERROR(IRR(B141:G141),"n/a")</f>
        <v>0.33594426706445168</v>
      </c>
      <c r="I47" s="293">
        <f>IFERROR(IRR(B142:G142),"n/a")</f>
        <v>0.31357574178414205</v>
      </c>
      <c r="J47" s="293">
        <f>IFERROR(IRR(B143:G143),"n/a")</f>
        <v>0.29250724525012117</v>
      </c>
      <c r="K47" s="17"/>
      <c r="T47" s="215"/>
      <c r="U47" s="215"/>
      <c r="V47" s="220"/>
      <c r="W47" s="215"/>
    </row>
    <row r="48" spans="2:23" ht="15.75" customHeight="1" x14ac:dyDescent="0.2">
      <c r="B48" s="237">
        <v>0.13</v>
      </c>
      <c r="C48" s="238">
        <f>F81</f>
        <v>2217169.4948800001</v>
      </c>
      <c r="D48" s="293">
        <f>IFERROR(IRR(B144:G144),"n/a")</f>
        <v>0.47690994904295048</v>
      </c>
      <c r="E48" s="293">
        <f>IFERROR(IRR(B145:G145),"n/a")</f>
        <v>0.4468824244534968</v>
      </c>
      <c r="F48" s="293">
        <f>IFERROR(IRR(B146:G146),"n/a")</f>
        <v>0.41957848267148767</v>
      </c>
      <c r="G48" s="293">
        <f>IFERROR(IRR(B147:G147),"n/a")</f>
        <v>0.39451097647107902</v>
      </c>
      <c r="H48" s="293">
        <f>IFERROR(IRR(B148:G148),"n/a")</f>
        <v>0.3713068891962279</v>
      </c>
      <c r="I48" s="293">
        <f>IFERROR(IRR(B149:G149),"n/a")</f>
        <v>0.34967437077366204</v>
      </c>
      <c r="J48" s="293">
        <f>IFERROR(IRR(B150:G150),"n/a")</f>
        <v>0.32938078232820978</v>
      </c>
      <c r="K48" s="17"/>
      <c r="T48" s="215"/>
      <c r="U48" s="215"/>
      <c r="V48" s="220"/>
      <c r="W48" s="215"/>
    </row>
    <row r="49" spans="2:23" ht="15.75" customHeight="1" x14ac:dyDescent="0.2">
      <c r="B49" s="241">
        <v>0.14000000000000001</v>
      </c>
      <c r="C49" s="242">
        <f>F82</f>
        <v>2076657.3881028569</v>
      </c>
      <c r="D49" s="293">
        <f>IFERROR(IRR(B151:G151),"n/a")</f>
        <v>0.5068086569023833</v>
      </c>
      <c r="E49" s="293">
        <f>IFERROR(IRR(B152:G152),"n/a")</f>
        <v>0.47724803276863526</v>
      </c>
      <c r="F49" s="293">
        <f>IFERROR(IRR(B153:G153),"n/a")</f>
        <v>0.45044231717441385</v>
      </c>
      <c r="G49" s="293">
        <f>IFERROR(IRR(B154:G154),"n/a")</f>
        <v>0.42590200999512007</v>
      </c>
      <c r="H49" s="293">
        <f>IFERROR(IRR(B155:G155),"n/a")</f>
        <v>0.40325267344511473</v>
      </c>
      <c r="I49" s="293">
        <f>IFERROR(IRR(B156:G156),"n/a")</f>
        <v>0.38220171562415217</v>
      </c>
      <c r="J49" s="293">
        <f>IFERROR(IRR(B157:G157),"n/a")</f>
        <v>0.36251627396076724</v>
      </c>
      <c r="K49" s="17"/>
      <c r="T49" s="215"/>
      <c r="U49" s="215"/>
      <c r="V49" s="220"/>
      <c r="W49" s="215"/>
    </row>
    <row r="50" spans="2:23" ht="15.75" customHeight="1" x14ac:dyDescent="0.2">
      <c r="B50" s="237">
        <v>0.15</v>
      </c>
      <c r="C50" s="238">
        <f>F83</f>
        <v>1954880.2288960002</v>
      </c>
      <c r="D50" s="293">
        <f>IFERROR(IRR(B158:G158),"n/a")</f>
        <v>0.53425910249929887</v>
      </c>
      <c r="E50" s="293">
        <f>IFERROR(IRR(B159:G159),"n/a")</f>
        <v>0.50508299749217955</v>
      </c>
      <c r="F50" s="293">
        <f>IFERROR(IRR(B160:G160),"n/a")</f>
        <v>0.47868650649517308</v>
      </c>
      <c r="G50" s="293">
        <f>IFERROR(IRR(B161:G161),"n/a")</f>
        <v>0.45457767677750827</v>
      </c>
      <c r="H50" s="293">
        <f>IFERROR(IRR(B162:G162),"n/a")</f>
        <v>0.43238043704190221</v>
      </c>
      <c r="I50" s="293">
        <f>IFERROR(IRR(B163:G163),"n/a")</f>
        <v>0.41180114591350292</v>
      </c>
      <c r="J50" s="293">
        <f>IFERROR(IRR(B164:G164),"n/a")</f>
        <v>0.39260632328373535</v>
      </c>
      <c r="K50" s="17"/>
      <c r="L50" s="17"/>
      <c r="M50" s="17"/>
      <c r="N50" s="17"/>
      <c r="O50" s="17"/>
      <c r="P50" s="17"/>
      <c r="Q50" s="215"/>
      <c r="R50" s="215"/>
      <c r="S50" s="215"/>
      <c r="T50" s="215"/>
      <c r="U50" s="215"/>
      <c r="V50" s="220"/>
      <c r="W50" s="215"/>
    </row>
    <row r="51" spans="2:23" ht="15.75" customHeight="1" x14ac:dyDescent="0.2">
      <c r="B51" s="243" t="s">
        <v>170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215"/>
      <c r="R51" s="215"/>
      <c r="S51" s="215"/>
      <c r="T51" s="215"/>
      <c r="U51" s="215"/>
      <c r="V51" s="223"/>
      <c r="W51" s="215"/>
    </row>
    <row r="52" spans="2:23" ht="15.75" customHeight="1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215"/>
      <c r="R52" s="215"/>
      <c r="S52" s="215"/>
      <c r="T52" s="215"/>
      <c r="U52" s="215"/>
      <c r="V52" s="220"/>
      <c r="W52" s="215"/>
    </row>
    <row r="53" spans="2:23" ht="15.75" customHeight="1" x14ac:dyDescent="0.2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215"/>
      <c r="R53" s="215"/>
      <c r="S53" s="215"/>
      <c r="T53" s="215"/>
      <c r="U53" s="215"/>
      <c r="V53" s="222"/>
      <c r="W53" s="215"/>
    </row>
    <row r="54" spans="2:23" ht="15.75" customHeight="1" x14ac:dyDescent="0.2">
      <c r="B54" s="130" t="s">
        <v>171</v>
      </c>
      <c r="C54" s="130"/>
      <c r="D54" s="130"/>
      <c r="E54" s="130"/>
      <c r="F54" s="130"/>
      <c r="G54" s="130"/>
      <c r="H54" s="130"/>
      <c r="I54" s="130"/>
      <c r="J54" s="130"/>
      <c r="K54" s="17"/>
      <c r="L54" s="17"/>
      <c r="M54" s="17"/>
      <c r="N54" s="215"/>
      <c r="O54" s="215"/>
      <c r="P54" s="215"/>
      <c r="Q54" s="215"/>
      <c r="R54" s="215"/>
      <c r="S54" s="215"/>
      <c r="T54" s="215"/>
      <c r="U54" s="215"/>
      <c r="V54" s="220"/>
      <c r="W54" s="215"/>
    </row>
    <row r="55" spans="2:23" ht="15.75" customHeight="1" x14ac:dyDescent="0.2">
      <c r="B55" s="127" t="s">
        <v>164</v>
      </c>
      <c r="C55" s="127" t="s">
        <v>165</v>
      </c>
      <c r="D55" s="128">
        <v>0.05</v>
      </c>
      <c r="E55" s="128">
        <v>5.5E-2</v>
      </c>
      <c r="F55" s="127" t="s">
        <v>166</v>
      </c>
      <c r="G55" s="128">
        <v>6.5000000000000002E-2</v>
      </c>
      <c r="H55" s="128">
        <v>7.0000000000000007E-2</v>
      </c>
      <c r="I55" s="128">
        <v>7.4999999999999997E-2</v>
      </c>
      <c r="J55" s="128">
        <v>0.08</v>
      </c>
      <c r="K55" s="17"/>
      <c r="L55" s="17"/>
      <c r="M55" s="17"/>
      <c r="N55" s="215"/>
      <c r="O55" s="215"/>
      <c r="P55" s="215"/>
      <c r="Q55" s="215"/>
      <c r="R55" s="215"/>
      <c r="S55" s="215"/>
      <c r="T55" s="215"/>
      <c r="U55" s="215"/>
      <c r="V55" s="220"/>
      <c r="W55" s="215"/>
    </row>
    <row r="56" spans="2:23" ht="15.75" customHeight="1" x14ac:dyDescent="0.2">
      <c r="B56" s="237">
        <v>0.05</v>
      </c>
      <c r="C56" s="238">
        <f>F73</f>
        <v>5364640.6866879994</v>
      </c>
      <c r="D56" s="244">
        <f>IFERROR(SUM(C88:G88)/(-B88),"n/a")</f>
        <v>1.0657843092454096</v>
      </c>
      <c r="E56" s="244">
        <f>IFERROR(SUM(C89:G89)/(-B89),"n/a")</f>
        <v>0.80612669845868457</v>
      </c>
      <c r="F56" s="244">
        <f>IFERROR(SUM(C90:G90)/(-B90),"n/a")</f>
        <v>0.5897453561364131</v>
      </c>
      <c r="G56" s="244">
        <f>IFERROR(SUM(C91:G91)/(-B91),"n/a")</f>
        <v>0.40665345109449119</v>
      </c>
      <c r="H56" s="244">
        <f>IFERROR(SUM(C92:G92)/(-B92),"n/a")</f>
        <v>0.24971753248712952</v>
      </c>
      <c r="I56" s="244">
        <f>IFERROR(SUM(C93:G93)/(-B93),"n/a")</f>
        <v>0.1137064030274168</v>
      </c>
      <c r="J56" s="244">
        <f>IFERROR(SUM(C94:G94)/(-B94),"n/a")</f>
        <v>-5.3033352498325784E-3</v>
      </c>
      <c r="K56" s="17"/>
      <c r="L56" s="17"/>
      <c r="M56" s="17"/>
      <c r="V56" s="220"/>
      <c r="W56" s="215"/>
    </row>
    <row r="57" spans="2:23" ht="15.75" customHeight="1" x14ac:dyDescent="0.2">
      <c r="B57" s="239">
        <v>0.06</v>
      </c>
      <c r="C57" s="240">
        <f>F74</f>
        <v>4512200.5722399997</v>
      </c>
      <c r="D57" s="244">
        <f>IFERROR(SUM(C95:G95)/(-B95),"n/a")</f>
        <v>1.7325345129460819</v>
      </c>
      <c r="E57" s="244">
        <f>IFERROR(SUM(C96:G96)/(-B96),"n/a")</f>
        <v>1.4291253194253739</v>
      </c>
      <c r="F57" s="244">
        <f>IFERROR(SUM(C97:G97)/(-B97),"n/a")</f>
        <v>1.1762843248247834</v>
      </c>
      <c r="G57" s="244">
        <f>IFERROR(SUM(C98:G98)/(-B98),"n/a")</f>
        <v>0.96234194477812962</v>
      </c>
      <c r="H57" s="244">
        <f>IFERROR(SUM(C99:G99)/(-B99),"n/a")</f>
        <v>0.778962761880998</v>
      </c>
      <c r="I57" s="244">
        <f>IFERROR(SUM(C100:G100)/(-B100),"n/a")</f>
        <v>0.62003413670348484</v>
      </c>
      <c r="J57" s="244">
        <f>IFERROR(SUM(C101:G101)/(-B101),"n/a")</f>
        <v>0.48097158967315989</v>
      </c>
      <c r="K57" s="17"/>
      <c r="L57" s="17"/>
      <c r="M57" s="17"/>
      <c r="V57" s="220"/>
      <c r="W57" s="215"/>
    </row>
    <row r="58" spans="2:23" ht="15.75" customHeight="1" x14ac:dyDescent="0.2">
      <c r="B58" s="237">
        <v>7.0000000000000007E-2</v>
      </c>
      <c r="C58" s="238">
        <f>F75</f>
        <v>3903314.7762057139</v>
      </c>
      <c r="D58" s="244">
        <f>IFERROR(SUM(C102:G102)/(-B102),"n/a")</f>
        <v>2.3651727480538756</v>
      </c>
      <c r="E58" s="244">
        <f>IFERROR(SUM(C103:G103)/(-B103),"n/a")</f>
        <v>2.0202503702396006</v>
      </c>
      <c r="F58" s="244">
        <f>IFERROR(SUM(C104:G104)/(-B104),"n/a")</f>
        <v>1.7328150553943704</v>
      </c>
      <c r="G58" s="244">
        <f>IFERROR(SUM(C105:G105)/(-B105),"n/a")</f>
        <v>1.4896005582176375</v>
      </c>
      <c r="H58" s="244">
        <f>IFERROR(SUM(C106:G106)/(-B106),"n/a")</f>
        <v>1.2811309892090088</v>
      </c>
      <c r="I58" s="244">
        <f>IFERROR(SUM(C107:G107)/(-B107),"n/a")</f>
        <v>1.1004573627348651</v>
      </c>
      <c r="J58" s="244">
        <f>IFERROR(SUM(C108:G108)/(-B108),"n/a")</f>
        <v>0.94236793956998877</v>
      </c>
      <c r="K58" s="17"/>
      <c r="L58" s="17"/>
      <c r="M58" s="17"/>
      <c r="V58" s="221"/>
      <c r="W58" s="215"/>
    </row>
    <row r="59" spans="2:23" ht="15.75" customHeight="1" x14ac:dyDescent="0.2">
      <c r="B59" s="241">
        <v>0.08</v>
      </c>
      <c r="C59" s="242">
        <f>F76</f>
        <v>3446650.42918</v>
      </c>
      <c r="D59" s="244">
        <f>IFERROR(SUM(C109:G109)/(-B109),"n/a")</f>
        <v>2.9662515501154996</v>
      </c>
      <c r="E59" s="244">
        <f>IFERROR(SUM(C110:G110)/(-B110),"n/a")</f>
        <v>2.5818868912309232</v>
      </c>
      <c r="F59" s="244">
        <f>IFERROR(SUM(C111:G111)/(-B111),"n/a")</f>
        <v>2.2615830088271087</v>
      </c>
      <c r="G59" s="244">
        <f>IFERROR(SUM(C112:G112)/(-B112),"n/a")</f>
        <v>1.9905566467931115</v>
      </c>
      <c r="H59" s="244">
        <f>IFERROR(SUM(C113:G113)/(-B113),"n/a")</f>
        <v>1.7582483364782571</v>
      </c>
      <c r="I59" s="244">
        <f>IFERROR(SUM(C114:G114)/(-B114),"n/a")</f>
        <v>1.5569144675387179</v>
      </c>
      <c r="J59" s="244">
        <f>IFERROR(SUM(C115:G115)/(-B115),"n/a")</f>
        <v>1.3807473322166199</v>
      </c>
      <c r="K59" s="215"/>
      <c r="L59" s="215"/>
      <c r="M59" s="215"/>
      <c r="V59" s="220"/>
      <c r="W59" s="215"/>
    </row>
    <row r="60" spans="2:23" ht="15.75" customHeight="1" x14ac:dyDescent="0.2">
      <c r="B60" s="237">
        <v>0.09</v>
      </c>
      <c r="C60" s="238">
        <f>F77</f>
        <v>3091467.0481599998</v>
      </c>
      <c r="D60" s="244">
        <f>IFERROR(SUM(C116:G116)/(-B116),"n/a")</f>
        <v>3.5380749835349956</v>
      </c>
      <c r="E60" s="244">
        <f>IFERROR(SUM(C117:G117)/(-B117),"n/a")</f>
        <v>3.1161877560518279</v>
      </c>
      <c r="F60" s="244">
        <f>IFERROR(SUM(C118:G118)/(-B118),"n/a")</f>
        <v>2.7646150664825204</v>
      </c>
      <c r="G60" s="244">
        <f>IFERROR(SUM(C119:G119)/(-B119),"n/a")</f>
        <v>2.4671304830007985</v>
      </c>
      <c r="H60" s="244">
        <f>IFERROR(SUM(C120:G120)/(-B120),"n/a")</f>
        <v>2.2121436971593234</v>
      </c>
      <c r="I60" s="244">
        <f>IFERROR(SUM(C121:G121)/(-B121),"n/a")</f>
        <v>1.9911551494300455</v>
      </c>
      <c r="J60" s="244">
        <f>IFERROR(SUM(C122:G122)/(-B122),"n/a")</f>
        <v>1.7977901701669261</v>
      </c>
      <c r="K60" s="215"/>
      <c r="L60" s="215"/>
      <c r="M60" s="215"/>
      <c r="V60" s="222"/>
      <c r="W60" s="215"/>
    </row>
    <row r="61" spans="2:23" ht="15.75" customHeight="1" x14ac:dyDescent="0.2">
      <c r="B61" s="241">
        <v>0.1</v>
      </c>
      <c r="C61" s="242">
        <f>F78</f>
        <v>2807320.3433439997</v>
      </c>
      <c r="D61" s="244">
        <f>IFERROR(SUM(C123:G123)/(-B123),"n/a")</f>
        <v>4.0827281569152012</v>
      </c>
      <c r="E61" s="244">
        <f>IFERROR(SUM(C124:G124)/(-B124),"n/a")</f>
        <v>3.6251012502475213</v>
      </c>
      <c r="F61" s="244">
        <f>IFERROR(SUM(C125:G125)/(-B125),"n/a")</f>
        <v>3.2437454946911202</v>
      </c>
      <c r="G61" s="244">
        <f>IFERROR(SUM(C126:G126)/(-B126),"n/a")</f>
        <v>2.9210598553741653</v>
      </c>
      <c r="H61" s="244">
        <f>IFERROR(SUM(C127:G127)/(-B127),"n/a")</f>
        <v>2.6444721645310607</v>
      </c>
      <c r="I61" s="244">
        <f>IFERROR(SUM(C128:G128)/(-B128),"n/a")</f>
        <v>2.4047628324670387</v>
      </c>
      <c r="J61" s="244">
        <f>IFERROR(SUM(C129:G129)/(-B129),"n/a")</f>
        <v>2.1950171669110174</v>
      </c>
    </row>
    <row r="62" spans="2:23" ht="15.75" customHeight="1" x14ac:dyDescent="0.2">
      <c r="B62" s="237">
        <v>0.11</v>
      </c>
      <c r="C62" s="238">
        <f>F79</f>
        <v>2574836.6757672727</v>
      </c>
      <c r="D62" s="244">
        <f>IFERROR(SUM(C130:G130)/(-B130),"n/a")</f>
        <v>4.6021026287591189</v>
      </c>
      <c r="E62" s="244">
        <f>IFERROR(SUM(C131:G131)/(-B131),"n/a")</f>
        <v>4.1103948098567296</v>
      </c>
      <c r="F62" s="244">
        <f>IFERROR(SUM(C132:G132)/(-B132),"n/a")</f>
        <v>3.7006382941047362</v>
      </c>
      <c r="G62" s="244">
        <f>IFERROR(SUM(C133:G133)/(-B133),"n/a")</f>
        <v>3.3539212423145872</v>
      </c>
      <c r="H62" s="244">
        <f>IFERROR(SUM(C134:G134)/(-B134),"n/a")</f>
        <v>3.0567351979230324</v>
      </c>
      <c r="I62" s="244">
        <f>IFERROR(SUM(C135:G135)/(-B135),"n/a")</f>
        <v>2.7991739594503522</v>
      </c>
      <c r="J62" s="244">
        <f>IFERROR(SUM(C136:G136)/(-B136),"n/a")</f>
        <v>2.5738078757867551</v>
      </c>
    </row>
    <row r="63" spans="2:23" ht="15.75" customHeight="1" x14ac:dyDescent="0.2">
      <c r="B63" s="241">
        <v>0.12</v>
      </c>
      <c r="C63" s="242">
        <f>F80</f>
        <v>2381100.2861199998</v>
      </c>
      <c r="D63" s="244">
        <f>IFERROR(SUM(C137:G137)/(-B137),"n/a")</f>
        <v>5.0979183559753887</v>
      </c>
      <c r="E63" s="244">
        <f>IFERROR(SUM(C138:G138)/(-B138),"n/a")</f>
        <v>4.5736755296748584</v>
      </c>
      <c r="F63" s="244">
        <f>IFERROR(SUM(C139:G139)/(-B139),"n/a")</f>
        <v>4.1368065077577487</v>
      </c>
      <c r="G63" s="244">
        <f>IFERROR(SUM(C140:G140)/(-B140),"n/a")</f>
        <v>3.7671481045971165</v>
      </c>
      <c r="H63" s="244">
        <f>IFERROR(SUM(C141:G141)/(-B141),"n/a")</f>
        <v>3.4502980447451472</v>
      </c>
      <c r="I63" s="244">
        <f>IFERROR(SUM(C142:G142)/(-B142),"n/a")</f>
        <v>3.1756946595401088</v>
      </c>
      <c r="J63" s="244">
        <f>IFERROR(SUM(C143:G143)/(-B143),"n/a")</f>
        <v>2.9354166974856981</v>
      </c>
    </row>
    <row r="64" spans="2:23" ht="15.75" customHeight="1" x14ac:dyDescent="0.2">
      <c r="B64" s="237">
        <v>0.13</v>
      </c>
      <c r="C64" s="238">
        <f>F81</f>
        <v>2217169.4948800001</v>
      </c>
      <c r="D64" s="244">
        <f>IFERROR(SUM(C144:G144)/(-B144),"n/a")</f>
        <v>5.5717427218782793</v>
      </c>
      <c r="E64" s="244">
        <f>IFERROR(SUM(C145:G145)/(-B145),"n/a")</f>
        <v>5.0164079426527772</v>
      </c>
      <c r="F64" s="244">
        <f>IFERROR(SUM(C146:G146)/(-B146),"n/a")</f>
        <v>4.5536289599648567</v>
      </c>
      <c r="G64" s="244">
        <f>IFERROR(SUM(C147:G147)/(-B147),"n/a")</f>
        <v>4.1620467438443089</v>
      </c>
      <c r="H64" s="244">
        <f>IFERROR(SUM(C148:G148)/(-B148),"n/a")</f>
        <v>3.8264048443124112</v>
      </c>
      <c r="I64" s="244">
        <f>IFERROR(SUM(C149:G149)/(-B149),"n/a")</f>
        <v>3.5355151980514341</v>
      </c>
      <c r="J64" s="244">
        <f>IFERROR(SUM(C150:G150)/(-B150),"n/a")</f>
        <v>3.2809867575730776</v>
      </c>
    </row>
    <row r="65" spans="2:10" ht="15.75" customHeight="1" x14ac:dyDescent="0.2">
      <c r="B65" s="241">
        <v>0.14000000000000001</v>
      </c>
      <c r="C65" s="242">
        <f>F82</f>
        <v>2076657.3881028569</v>
      </c>
      <c r="D65" s="244">
        <f>IFERROR(SUM(C151:G151)/(-B151),"n/a")</f>
        <v>6.0250070872212405</v>
      </c>
      <c r="E65" s="244">
        <f>IFERROR(SUM(C152:G152)/(-B152),"n/a")</f>
        <v>5.4399294848655755</v>
      </c>
      <c r="F65" s="244">
        <f>IFERROR(SUM(C153:G153)/(-B153),"n/a")</f>
        <v>4.9523648162358533</v>
      </c>
      <c r="G65" s="244">
        <f>IFERROR(SUM(C154:G154)/(-B154),"n/a")</f>
        <v>4.5398100966260886</v>
      </c>
      <c r="H65" s="244">
        <f>IFERROR(SUM(C155:G155)/(-B155),"n/a")</f>
        <v>4.1861917655320031</v>
      </c>
      <c r="I65" s="244">
        <f>IFERROR(SUM(C156:G156)/(-B156),"n/a")</f>
        <v>3.8797225452504653</v>
      </c>
      <c r="J65" s="244">
        <f>IFERROR(SUM(C157:G157)/(-B157),"n/a")</f>
        <v>3.6115619775041172</v>
      </c>
    </row>
    <row r="66" spans="2:10" ht="15.75" customHeight="1" x14ac:dyDescent="0.2">
      <c r="B66" s="237">
        <v>0.15</v>
      </c>
      <c r="C66" s="238">
        <f>F83</f>
        <v>1954880.2288960002</v>
      </c>
      <c r="D66" s="244">
        <f>IFERROR(SUM(C158:G158)/(-B158),"n/a")</f>
        <v>6.4590212324541554</v>
      </c>
      <c r="E66" s="244">
        <f>IFERROR(SUM(C159:G159)/(-B159),"n/a")</f>
        <v>5.8454639900811598</v>
      </c>
      <c r="F66" s="244">
        <f>IFERROR(SUM(C160:G160)/(-B160),"n/a")</f>
        <v>5.3341662881036624</v>
      </c>
      <c r="G66" s="244">
        <f>IFERROR(SUM(C161:G161)/(-B161),"n/a")</f>
        <v>4.9015297710457792</v>
      </c>
      <c r="H66" s="244">
        <f>IFERROR(SUM(C162:G162)/(-B162),"n/a")</f>
        <v>4.5306984707104521</v>
      </c>
      <c r="I66" s="244">
        <f>IFERROR(SUM(C163:G163)/(-B163),"n/a")</f>
        <v>4.2093113437531695</v>
      </c>
      <c r="J66" s="244">
        <f>IFERROR(SUM(C164:G164)/(-B164),"n/a")</f>
        <v>3.9280976076655447</v>
      </c>
    </row>
    <row r="67" spans="2:10" ht="15.75" customHeight="1" x14ac:dyDescent="0.2">
      <c r="B67" s="235" t="s">
        <v>170</v>
      </c>
    </row>
    <row r="70" spans="2:10" ht="15.75" customHeight="1" x14ac:dyDescent="0.2">
      <c r="B70" s="236" t="s">
        <v>575</v>
      </c>
    </row>
    <row r="71" spans="2:10" ht="15.75" customHeight="1" x14ac:dyDescent="0.2">
      <c r="B71" s="236"/>
    </row>
    <row r="72" spans="2:10" ht="15.75" customHeight="1" x14ac:dyDescent="0.2">
      <c r="B72" s="249" t="s">
        <v>566</v>
      </c>
      <c r="C72" s="249" t="s">
        <v>172</v>
      </c>
      <c r="D72" s="249" t="s">
        <v>168</v>
      </c>
      <c r="E72" s="249" t="s">
        <v>558</v>
      </c>
      <c r="F72" s="249" t="s">
        <v>169</v>
      </c>
      <c r="G72" s="249" t="s">
        <v>173</v>
      </c>
      <c r="H72" s="249" t="s">
        <v>174</v>
      </c>
      <c r="I72" s="249" t="s">
        <v>559</v>
      </c>
    </row>
    <row r="73" spans="2:10" ht="15.75" customHeight="1" x14ac:dyDescent="0.2">
      <c r="B73" s="252">
        <v>0.05</v>
      </c>
      <c r="C73" s="250">
        <f>'Pro Forma'!$E$21/B73</f>
        <v>5014353.6143999994</v>
      </c>
      <c r="D73" s="250">
        <f>C73*Assumptions!$C$8</f>
        <v>100287.072288</v>
      </c>
      <c r="E73" s="250">
        <f>Assumptions!$C$10</f>
        <v>250000</v>
      </c>
      <c r="F73" s="250">
        <f>C73+D73+E73</f>
        <v>5364640.6866879994</v>
      </c>
      <c r="G73" s="250">
        <f>C73*Assumptions!$C$34</f>
        <v>3510047.5300799995</v>
      </c>
      <c r="H73" s="250">
        <f>G73*Assumptions!$C$36</f>
        <v>228153.08945519998</v>
      </c>
      <c r="I73" s="250">
        <f>G73+CUMPRINC(Assumptions!$C$36/12,Assumptions!$C$38*12,G73,1,MIN((Assumptions!$C$44*12-Assumptions!$C$37),Assumptions!$C$38*12),0)</f>
        <v>3384291.018037234</v>
      </c>
    </row>
    <row r="74" spans="2:10" ht="15.75" customHeight="1" x14ac:dyDescent="0.2">
      <c r="B74" s="253">
        <v>0.06</v>
      </c>
      <c r="C74" s="251">
        <f>'Pro Forma'!$E$21/B74</f>
        <v>4178628.0120000001</v>
      </c>
      <c r="D74" s="251">
        <f>C74*Assumptions!$C$8</f>
        <v>83572.560240000006</v>
      </c>
      <c r="E74" s="251">
        <f>Assumptions!$C$10</f>
        <v>250000</v>
      </c>
      <c r="F74" s="251">
        <f>C74+D74+E74</f>
        <v>4512200.5722399997</v>
      </c>
      <c r="G74" s="251">
        <f>C74*Assumptions!$C$34</f>
        <v>2925039.6083999998</v>
      </c>
      <c r="H74" s="251">
        <f>G74*Assumptions!$C$36</f>
        <v>190127.57454599999</v>
      </c>
      <c r="I74" s="251">
        <f>G74+CUMPRINC(Assumptions!$C$36/12,Assumptions!$C$38*12,G74,1,MIN((Assumptions!$C$44*12-Assumptions!$C$37),Assumptions!$C$38*12),0)</f>
        <v>2820242.5150310285</v>
      </c>
    </row>
    <row r="75" spans="2:10" ht="15.75" customHeight="1" x14ac:dyDescent="0.2">
      <c r="B75" s="252">
        <v>7.0000000000000007E-2</v>
      </c>
      <c r="C75" s="250">
        <f>'Pro Forma'!$E$21/B75</f>
        <v>3581681.1531428569</v>
      </c>
      <c r="D75" s="250">
        <f>C75*Assumptions!$C$8</f>
        <v>71633.623062857136</v>
      </c>
      <c r="E75" s="250">
        <f>Assumptions!$C$10</f>
        <v>250000</v>
      </c>
      <c r="F75" s="250">
        <f>C75+D75+E75</f>
        <v>3903314.7762057139</v>
      </c>
      <c r="G75" s="250">
        <f>C75*Assumptions!$C$34</f>
        <v>2507176.8071999997</v>
      </c>
      <c r="H75" s="250">
        <f>G75*Assumptions!$C$36</f>
        <v>162966.49246799998</v>
      </c>
      <c r="I75" s="250">
        <f>G75+CUMPRINC(Assumptions!$C$36/12,Assumptions!$C$38*12,G75,1,MIN((Assumptions!$C$44*12-Assumptions!$C$37),Assumptions!$C$38*12),0)</f>
        <v>2417350.7271694527</v>
      </c>
    </row>
    <row r="76" spans="2:10" ht="15.75" customHeight="1" x14ac:dyDescent="0.2">
      <c r="B76" s="253">
        <v>0.08</v>
      </c>
      <c r="C76" s="251">
        <f>'Pro Forma'!$E$21/B76</f>
        <v>3133971.0090000001</v>
      </c>
      <c r="D76" s="251">
        <f>C76*Assumptions!$C$8</f>
        <v>62679.420180000001</v>
      </c>
      <c r="E76" s="251">
        <f>Assumptions!$C$10</f>
        <v>250000</v>
      </c>
      <c r="F76" s="251">
        <f>C76+D76+E76</f>
        <v>3446650.42918</v>
      </c>
      <c r="G76" s="251">
        <f>C76*Assumptions!$C$34</f>
        <v>2193779.7062999997</v>
      </c>
      <c r="H76" s="251">
        <f>G76*Assumptions!$C$36</f>
        <v>142595.68090949999</v>
      </c>
      <c r="I76" s="251">
        <f>G76+CUMPRINC(Assumptions!$C$36/12,Assumptions!$C$38*12,G76,1,MIN((Assumptions!$C$44*12-Assumptions!$C$37),Assumptions!$C$38*12),0)</f>
        <v>2115181.8862732714</v>
      </c>
    </row>
    <row r="77" spans="2:10" ht="15.75" customHeight="1" x14ac:dyDescent="0.2">
      <c r="B77" s="252">
        <v>0.09</v>
      </c>
      <c r="C77" s="250">
        <f>'Pro Forma'!$E$21/B77</f>
        <v>2785752.0079999999</v>
      </c>
      <c r="D77" s="250">
        <f>C77*Assumptions!$C$8</f>
        <v>55715.040159999997</v>
      </c>
      <c r="E77" s="250">
        <f>Assumptions!$C$10</f>
        <v>250000</v>
      </c>
      <c r="F77" s="250">
        <f>C77+D77+E77</f>
        <v>3091467.0481599998</v>
      </c>
      <c r="G77" s="250">
        <f>C77*Assumptions!$C$34</f>
        <v>1950026.4055999997</v>
      </c>
      <c r="H77" s="250">
        <f>G77*Assumptions!$C$36</f>
        <v>126751.71636399998</v>
      </c>
      <c r="I77" s="250">
        <f>G77+CUMPRINC(Assumptions!$C$36/12,Assumptions!$C$38*12,G77,1,MIN((Assumptions!$C$44*12-Assumptions!$C$37),Assumptions!$C$38*12),0)</f>
        <v>1880161.6766873521</v>
      </c>
    </row>
    <row r="78" spans="2:10" ht="15.75" customHeight="1" x14ac:dyDescent="0.2">
      <c r="B78" s="253">
        <v>0.1</v>
      </c>
      <c r="C78" s="251">
        <f>'Pro Forma'!$E$21/B78</f>
        <v>2507176.8071999997</v>
      </c>
      <c r="D78" s="251">
        <f>C78*Assumptions!$C$8</f>
        <v>50143.536143999998</v>
      </c>
      <c r="E78" s="251">
        <f>Assumptions!$C$10</f>
        <v>250000</v>
      </c>
      <c r="F78" s="251">
        <f>C78+D78+E78</f>
        <v>2807320.3433439997</v>
      </c>
      <c r="G78" s="251">
        <f>C78*Assumptions!$C$34</f>
        <v>1755023.7650399997</v>
      </c>
      <c r="H78" s="251">
        <f>G78*Assumptions!$C$36</f>
        <v>114076.54472759999</v>
      </c>
      <c r="I78" s="251">
        <f>G78+CUMPRINC(Assumptions!$C$36/12,Assumptions!$C$38*12,G78,1,MIN((Assumptions!$C$44*12-Assumptions!$C$37),Assumptions!$C$38*12),0)</f>
        <v>1692145.509018617</v>
      </c>
    </row>
    <row r="79" spans="2:10" ht="15.75" customHeight="1" x14ac:dyDescent="0.2">
      <c r="B79" s="252">
        <v>0.11</v>
      </c>
      <c r="C79" s="250">
        <f>'Pro Forma'!$E$21/B79</f>
        <v>2279251.642909091</v>
      </c>
      <c r="D79" s="250">
        <f>C79*Assumptions!$C$8</f>
        <v>45585.032858181818</v>
      </c>
      <c r="E79" s="250">
        <f>Assumptions!$C$10</f>
        <v>250000</v>
      </c>
      <c r="F79" s="250">
        <f>C79+D79+E79</f>
        <v>2574836.6757672727</v>
      </c>
      <c r="G79" s="250">
        <f>C79*Assumptions!$C$34</f>
        <v>1595476.1500363636</v>
      </c>
      <c r="H79" s="250">
        <f>G79*Assumptions!$C$36</f>
        <v>103705.94975236364</v>
      </c>
      <c r="I79" s="250">
        <f>G79+CUMPRINC(Assumptions!$C$36/12,Assumptions!$C$38*12,G79,1,MIN((Assumptions!$C$44*12-Assumptions!$C$37),Assumptions!$C$38*12),0)</f>
        <v>1538314.0991078338</v>
      </c>
    </row>
    <row r="80" spans="2:10" ht="15.75" customHeight="1" x14ac:dyDescent="0.2">
      <c r="B80" s="253">
        <v>0.12</v>
      </c>
      <c r="C80" s="251">
        <f>'Pro Forma'!$E$21/B80</f>
        <v>2089314.0060000001</v>
      </c>
      <c r="D80" s="251">
        <f>C80*Assumptions!$C$8</f>
        <v>41786.280120000003</v>
      </c>
      <c r="E80" s="251">
        <f>Assumptions!$C$10</f>
        <v>250000</v>
      </c>
      <c r="F80" s="251">
        <f>C80+D80+E80</f>
        <v>2381100.2861199998</v>
      </c>
      <c r="G80" s="251">
        <f>C80*Assumptions!$C$34</f>
        <v>1462519.8041999999</v>
      </c>
      <c r="H80" s="251">
        <f>G80*Assumptions!$C$36</f>
        <v>95063.787272999994</v>
      </c>
      <c r="I80" s="251">
        <f>G80+CUMPRINC(Assumptions!$C$36/12,Assumptions!$C$38*12,G80,1,MIN((Assumptions!$C$44*12-Assumptions!$C$37),Assumptions!$C$38*12),0)</f>
        <v>1410121.2575155143</v>
      </c>
    </row>
    <row r="81" spans="2:9" ht="15.75" customHeight="1" x14ac:dyDescent="0.2">
      <c r="B81" s="252">
        <v>0.13</v>
      </c>
      <c r="C81" s="250">
        <f>'Pro Forma'!$E$21/B81</f>
        <v>1928597.544</v>
      </c>
      <c r="D81" s="250">
        <f>C81*Assumptions!$C$8</f>
        <v>38571.950880000004</v>
      </c>
      <c r="E81" s="250">
        <f>Assumptions!$C$10</f>
        <v>250000</v>
      </c>
      <c r="F81" s="250">
        <f>C81+D81+E81</f>
        <v>2217169.4948800001</v>
      </c>
      <c r="G81" s="250">
        <f>C81*Assumptions!$C$34</f>
        <v>1350018.2807999998</v>
      </c>
      <c r="H81" s="250">
        <f>G81*Assumptions!$C$36</f>
        <v>87751.188251999993</v>
      </c>
      <c r="I81" s="250">
        <f>G81+CUMPRINC(Assumptions!$C$36/12,Assumptions!$C$38*12,G81,1,MIN((Assumptions!$C$44*12-Assumptions!$C$37),Assumptions!$C$38*12),0)</f>
        <v>1301650.3915527824</v>
      </c>
    </row>
    <row r="82" spans="2:9" ht="15.75" customHeight="1" x14ac:dyDescent="0.2">
      <c r="B82" s="253">
        <v>0.14000000000000001</v>
      </c>
      <c r="C82" s="251">
        <f>'Pro Forma'!$E$21/B82</f>
        <v>1790840.5765714284</v>
      </c>
      <c r="D82" s="251">
        <f>C82*Assumptions!$C$8</f>
        <v>35816.811531428568</v>
      </c>
      <c r="E82" s="251">
        <f>Assumptions!$C$10</f>
        <v>250000</v>
      </c>
      <c r="F82" s="251">
        <f>C82+D82+E82</f>
        <v>2076657.3881028569</v>
      </c>
      <c r="G82" s="251">
        <f>C82*Assumptions!$C$34</f>
        <v>1253588.4035999998</v>
      </c>
      <c r="H82" s="251">
        <f>G82*Assumptions!$C$36</f>
        <v>81483.246233999991</v>
      </c>
      <c r="I82" s="251">
        <f>G82+CUMPRINC(Assumptions!$C$36/12,Assumptions!$C$38*12,G82,1,MIN((Assumptions!$C$44*12-Assumptions!$C$37),Assumptions!$C$38*12),0)</f>
        <v>1208675.3635847264</v>
      </c>
    </row>
    <row r="83" spans="2:9" ht="15.75" customHeight="1" x14ac:dyDescent="0.2">
      <c r="B83" s="252">
        <v>0.15</v>
      </c>
      <c r="C83" s="250">
        <f>'Pro Forma'!$E$21/B83</f>
        <v>1671451.2048000002</v>
      </c>
      <c r="D83" s="250">
        <f>C83*Assumptions!$C$8</f>
        <v>33429.024096000001</v>
      </c>
      <c r="E83" s="250">
        <f>Assumptions!$C$10</f>
        <v>250000</v>
      </c>
      <c r="F83" s="250">
        <f>C83+D83+E83</f>
        <v>1954880.2288960002</v>
      </c>
      <c r="G83" s="250">
        <f>C83*Assumptions!$C$34</f>
        <v>1170015.8433600001</v>
      </c>
      <c r="H83" s="250">
        <f>G83*Assumptions!$C$36</f>
        <v>76051.029818400013</v>
      </c>
      <c r="I83" s="250">
        <f>G83+CUMPRINC(Assumptions!$C$36/12,Assumptions!$C$38*12,G83,1,MIN((Assumptions!$C$44*12-Assumptions!$C$37),Assumptions!$C$38*12),0)</f>
        <v>1128097.0060124116</v>
      </c>
    </row>
    <row r="84" spans="2:9" ht="16" customHeight="1" x14ac:dyDescent="0.2">
      <c r="B84" s="236"/>
    </row>
    <row r="85" spans="2:9" ht="15.75" customHeight="1" x14ac:dyDescent="0.2">
      <c r="B85" s="236"/>
    </row>
    <row r="87" spans="2:9" ht="15.75" customHeight="1" x14ac:dyDescent="0.2">
      <c r="B87" s="254" t="s">
        <v>560</v>
      </c>
      <c r="C87" s="254" t="s">
        <v>561</v>
      </c>
      <c r="D87" s="254" t="s">
        <v>562</v>
      </c>
      <c r="E87" s="254" t="s">
        <v>563</v>
      </c>
      <c r="F87" s="254" t="s">
        <v>564</v>
      </c>
      <c r="G87" s="254" t="s">
        <v>565</v>
      </c>
    </row>
    <row r="88" spans="2:9" ht="15.75" customHeight="1" x14ac:dyDescent="0.2">
      <c r="B88" s="255">
        <f>-(F73-G73)</f>
        <v>-1854593.1566079999</v>
      </c>
      <c r="C88" s="255">
        <f>'Pro Forma'!$E$21-H73</f>
        <v>22564.591264800023</v>
      </c>
      <c r="D88" s="255">
        <f>'Pro Forma'!$F$21-H73</f>
        <v>30086.12168640006</v>
      </c>
      <c r="E88" s="255">
        <f>'Pro Forma'!$G$21-(-PMT(Assumptions!$C$36/12,Assumptions!$C$38*12,G73)*12)</f>
        <v>-2230.724558954942</v>
      </c>
      <c r="F88" s="255">
        <f>'Pro Forma'!$H$21-(-PMT(Assumptions!$C$36/12,Assumptions!$C$38*12,G73)*12)</f>
        <v>3653.1565441328567</v>
      </c>
      <c r="G88" s="255">
        <f>'Pro Forma'!$I$21-(-PMT(Assumptions!$C$36/12,Assumptions!$C$38*12,G73)*12)+('Pro Forma'!$I$21/0.05)*(1-Assumptions!$C$46)-I73</f>
        <v>1922523.1414103429</v>
      </c>
    </row>
    <row r="89" spans="2:9" ht="15.75" customHeight="1" x14ac:dyDescent="0.2">
      <c r="B89" s="255">
        <f>-(F73-G73)</f>
        <v>-1854593.1566079999</v>
      </c>
      <c r="C89" s="255">
        <f>'Pro Forma'!$E$21-H73</f>
        <v>22564.591264800023</v>
      </c>
      <c r="D89" s="255">
        <f>'Pro Forma'!$F$21-H73</f>
        <v>30086.12168640006</v>
      </c>
      <c r="E89" s="255">
        <f>'Pro Forma'!$G$21-(-PMT(Assumptions!$C$36/12,Assumptions!$C$38*12,G73)*12)</f>
        <v>-2230.724558954942</v>
      </c>
      <c r="F89" s="255">
        <f>'Pro Forma'!$H$21-(-PMT(Assumptions!$C$36/12,Assumptions!$C$38*12,G73)*12)</f>
        <v>3653.1565441328567</v>
      </c>
      <c r="G89" s="255">
        <f>'Pro Forma'!$I$21-(-PMT(Assumptions!$C$36/12,Assumptions!$C$38*12,G73)*12)+('Pro Forma'!$I$21/0.055)*(1-Assumptions!$C$46)-I73</f>
        <v>1440963.913384099</v>
      </c>
    </row>
    <row r="90" spans="2:9" ht="15.75" customHeight="1" x14ac:dyDescent="0.2">
      <c r="B90" s="255">
        <f>-(F73-G73)</f>
        <v>-1854593.1566079999</v>
      </c>
      <c r="C90" s="255">
        <f>'Pro Forma'!$E$21-H73</f>
        <v>22564.591264800023</v>
      </c>
      <c r="D90" s="255">
        <f>'Pro Forma'!$F$21-H73</f>
        <v>30086.12168640006</v>
      </c>
      <c r="E90" s="255">
        <f>'Pro Forma'!$G$21-(-PMT(Assumptions!$C$36/12,Assumptions!$C$38*12,G73)*12)</f>
        <v>-2230.724558954942</v>
      </c>
      <c r="F90" s="255">
        <f>'Pro Forma'!$H$21-(-PMT(Assumptions!$C$36/12,Assumptions!$C$38*12,G73)*12)</f>
        <v>3653.1565441328567</v>
      </c>
      <c r="G90" s="255">
        <f>'Pro Forma'!$I$21-(-PMT(Assumptions!$C$36/12,Assumptions!$C$38*12,G73)*12)+('Pro Forma'!$I$21/0.06)*(1-Assumptions!$C$46)-I73</f>
        <v>1039664.5566955614</v>
      </c>
    </row>
    <row r="91" spans="2:9" ht="15.75" customHeight="1" x14ac:dyDescent="0.2">
      <c r="B91" s="255">
        <f>-(F73-G73)</f>
        <v>-1854593.1566079999</v>
      </c>
      <c r="C91" s="255">
        <f>'Pro Forma'!$E$21-H73</f>
        <v>22564.591264800023</v>
      </c>
      <c r="D91" s="255">
        <f>'Pro Forma'!$F$21-H73</f>
        <v>30086.12168640006</v>
      </c>
      <c r="E91" s="255">
        <f>'Pro Forma'!$G$21-(-PMT(Assumptions!$C$36/12,Assumptions!$C$38*12,G73)*12)</f>
        <v>-2230.724558954942</v>
      </c>
      <c r="F91" s="255">
        <f>'Pro Forma'!$H$21-(-PMT(Assumptions!$C$36/12,Assumptions!$C$38*12,G73)*12)</f>
        <v>3653.1565441328567</v>
      </c>
      <c r="G91" s="255">
        <f>'Pro Forma'!$I$21-(-PMT(Assumptions!$C$36/12,Assumptions!$C$38*12,G73)*12)+('Pro Forma'!$I$21/0.065)*(1-Assumptions!$C$46)-I73</f>
        <v>700103.56257449137</v>
      </c>
    </row>
    <row r="92" spans="2:9" ht="15.75" customHeight="1" x14ac:dyDescent="0.2">
      <c r="B92" s="255">
        <f>-(F73-G73)</f>
        <v>-1854593.1566079999</v>
      </c>
      <c r="C92" s="255">
        <f>'Pro Forma'!$E$21-H73</f>
        <v>22564.591264800023</v>
      </c>
      <c r="D92" s="255">
        <f>'Pro Forma'!$F$21-H73</f>
        <v>30086.12168640006</v>
      </c>
      <c r="E92" s="255">
        <f>'Pro Forma'!$G$21-(-PMT(Assumptions!$C$36/12,Assumptions!$C$38*12,G73)*12)</f>
        <v>-2230.724558954942</v>
      </c>
      <c r="F92" s="255">
        <f>'Pro Forma'!$H$21-(-PMT(Assumptions!$C$36/12,Assumptions!$C$38*12,G73)*12)</f>
        <v>3653.1565441328567</v>
      </c>
      <c r="G92" s="255">
        <f>'Pro Forma'!$I$21-(-PMT(Assumptions!$C$36/12,Assumptions!$C$38*12,G73)*12)+('Pro Forma'!$I$21/0.07)*(1-Assumptions!$C$46)-I73</f>
        <v>409051.2818992883</v>
      </c>
    </row>
    <row r="93" spans="2:9" ht="15.75" customHeight="1" x14ac:dyDescent="0.2">
      <c r="B93" s="255">
        <f>-(F73-G73)</f>
        <v>-1854593.1566079999</v>
      </c>
      <c r="C93" s="255">
        <f>'Pro Forma'!$E$21-H73</f>
        <v>22564.591264800023</v>
      </c>
      <c r="D93" s="255">
        <f>'Pro Forma'!$F$21-H73</f>
        <v>30086.12168640006</v>
      </c>
      <c r="E93" s="255">
        <f>'Pro Forma'!$G$21-(-PMT(Assumptions!$C$36/12,Assumptions!$C$38*12,G73)*12)</f>
        <v>-2230.724558954942</v>
      </c>
      <c r="F93" s="255">
        <f>'Pro Forma'!$H$21-(-PMT(Assumptions!$C$36/12,Assumptions!$C$38*12,G73)*12)</f>
        <v>3653.1565441328567</v>
      </c>
      <c r="G93" s="255">
        <f>'Pro Forma'!$I$21-(-PMT(Assumptions!$C$36/12,Assumptions!$C$38*12,G73)*12)+('Pro Forma'!$I$21/0.075)*(1-Assumptions!$C$46)-I73</f>
        <v>156805.97198078036</v>
      </c>
    </row>
    <row r="94" spans="2:9" ht="15.75" customHeight="1" x14ac:dyDescent="0.2">
      <c r="B94" s="255">
        <f>-(F73-G73)</f>
        <v>-1854593.1566079999</v>
      </c>
      <c r="C94" s="255">
        <f>'Pro Forma'!$E$21-H73</f>
        <v>22564.591264800023</v>
      </c>
      <c r="D94" s="255">
        <f>'Pro Forma'!$F$21-H73</f>
        <v>30086.12168640006</v>
      </c>
      <c r="E94" s="255">
        <f>'Pro Forma'!$G$21-(-PMT(Assumptions!$C$36/12,Assumptions!$C$38*12,G73)*12)</f>
        <v>-2230.724558954942</v>
      </c>
      <c r="F94" s="255">
        <f>'Pro Forma'!$H$21-(-PMT(Assumptions!$C$36/12,Assumptions!$C$38*12,G73)*12)</f>
        <v>3653.1565441328567</v>
      </c>
      <c r="G94" s="255">
        <f>'Pro Forma'!$I$21-(-PMT(Assumptions!$C$36/12,Assumptions!$C$38*12,G73)*12)+('Pro Forma'!$I$21/0.08)*(1-Assumptions!$C$46)-I73</f>
        <v>-63908.674197915476</v>
      </c>
    </row>
    <row r="95" spans="2:9" ht="15.75" customHeight="1" x14ac:dyDescent="0.2">
      <c r="B95" s="255">
        <f>-(F74-G74)</f>
        <v>-1587160.9638399999</v>
      </c>
      <c r="C95" s="255">
        <f>'Pro Forma'!$E$21-H74</f>
        <v>60590.106174000015</v>
      </c>
      <c r="D95" s="255">
        <f>'Pro Forma'!$F$21-H74</f>
        <v>68111.636595600052</v>
      </c>
      <c r="E95" s="255">
        <f>'Pro Forma'!$G$21-(-PMT(Assumptions!$C$36/12,Assumptions!$C$38*12,G74)*12)</f>
        <v>42141.051535125531</v>
      </c>
      <c r="F95" s="255">
        <f>'Pro Forma'!$H$21-(-PMT(Assumptions!$C$36/12,Assumptions!$C$38*12,G74)*12)</f>
        <v>48024.932638213329</v>
      </c>
      <c r="G95" s="255">
        <f>'Pro Forma'!$I$21-(-PMT(Assumptions!$C$36/12,Assumptions!$C$38*12,G74)*12)+('Pro Forma'!$I$21/0.05)*(1-Assumptions!$C$46)-I74</f>
        <v>2530943.4205106292</v>
      </c>
    </row>
    <row r="96" spans="2:9" ht="15.75" customHeight="1" x14ac:dyDescent="0.2">
      <c r="B96" s="255">
        <f>-(F74-G74)</f>
        <v>-1587160.9638399999</v>
      </c>
      <c r="C96" s="255">
        <f>'Pro Forma'!$E$21-H74</f>
        <v>60590.106174000015</v>
      </c>
      <c r="D96" s="255">
        <f>'Pro Forma'!$F$21-H74</f>
        <v>68111.636595600052</v>
      </c>
      <c r="E96" s="255">
        <f>'Pro Forma'!$G$21-(-PMT(Assumptions!$C$36/12,Assumptions!$C$38*12,G74)*12)</f>
        <v>42141.051535125531</v>
      </c>
      <c r="F96" s="255">
        <f>'Pro Forma'!$H$21-(-PMT(Assumptions!$C$36/12,Assumptions!$C$38*12,G74)*12)</f>
        <v>48024.932638213329</v>
      </c>
      <c r="G96" s="255">
        <f>'Pro Forma'!$I$21-(-PMT(Assumptions!$C$36/12,Assumptions!$C$38*12,G74)*12)+('Pro Forma'!$I$21/0.055)*(1-Assumptions!$C$46)-I74</f>
        <v>2049384.1924843853</v>
      </c>
    </row>
    <row r="97" spans="2:7" ht="15.75" customHeight="1" x14ac:dyDescent="0.2">
      <c r="B97" s="255">
        <f>-(F74-G74)</f>
        <v>-1587160.9638399999</v>
      </c>
      <c r="C97" s="255">
        <f>'Pro Forma'!$E$21-H74</f>
        <v>60590.106174000015</v>
      </c>
      <c r="D97" s="255">
        <f>'Pro Forma'!$F$21-H74</f>
        <v>68111.636595600052</v>
      </c>
      <c r="E97" s="255">
        <f>'Pro Forma'!$G$21-(-PMT(Assumptions!$C$36/12,Assumptions!$C$38*12,G74)*12)</f>
        <v>42141.051535125531</v>
      </c>
      <c r="F97" s="255">
        <f>'Pro Forma'!$H$21-(-PMT(Assumptions!$C$36/12,Assumptions!$C$38*12,G74)*12)</f>
        <v>48024.932638213329</v>
      </c>
      <c r="G97" s="255">
        <f>'Pro Forma'!$I$21-(-PMT(Assumptions!$C$36/12,Assumptions!$C$38*12,G74)*12)+('Pro Forma'!$I$21/0.06)*(1-Assumptions!$C$46)-I74</f>
        <v>1648084.8357958477</v>
      </c>
    </row>
    <row r="98" spans="2:7" ht="15.75" customHeight="1" x14ac:dyDescent="0.2">
      <c r="B98" s="255">
        <f>-(F74-G74)</f>
        <v>-1587160.9638399999</v>
      </c>
      <c r="C98" s="255">
        <f>'Pro Forma'!$E$21-H74</f>
        <v>60590.106174000015</v>
      </c>
      <c r="D98" s="255">
        <f>'Pro Forma'!$F$21-H74</f>
        <v>68111.636595600052</v>
      </c>
      <c r="E98" s="255">
        <f>'Pro Forma'!$G$21-(-PMT(Assumptions!$C$36/12,Assumptions!$C$38*12,G74)*12)</f>
        <v>42141.051535125531</v>
      </c>
      <c r="F98" s="255">
        <f>'Pro Forma'!$H$21-(-PMT(Assumptions!$C$36/12,Assumptions!$C$38*12,G74)*12)</f>
        <v>48024.932638213329</v>
      </c>
      <c r="G98" s="255">
        <f>'Pro Forma'!$I$21-(-PMT(Assumptions!$C$36/12,Assumptions!$C$38*12,G74)*12)+('Pro Forma'!$I$21/0.065)*(1-Assumptions!$C$46)-I74</f>
        <v>1308523.8416747772</v>
      </c>
    </row>
    <row r="99" spans="2:7" ht="15.75" customHeight="1" x14ac:dyDescent="0.2">
      <c r="B99" s="255">
        <f>-(F74-G74)</f>
        <v>-1587160.9638399999</v>
      </c>
      <c r="C99" s="255">
        <f>'Pro Forma'!$E$21-H74</f>
        <v>60590.106174000015</v>
      </c>
      <c r="D99" s="255">
        <f>'Pro Forma'!$F$21-H74</f>
        <v>68111.636595600052</v>
      </c>
      <c r="E99" s="255">
        <f>'Pro Forma'!$G$21-(-PMT(Assumptions!$C$36/12,Assumptions!$C$38*12,G74)*12)</f>
        <v>42141.051535125531</v>
      </c>
      <c r="F99" s="255">
        <f>'Pro Forma'!$H$21-(-PMT(Assumptions!$C$36/12,Assumptions!$C$38*12,G74)*12)</f>
        <v>48024.932638213329</v>
      </c>
      <c r="G99" s="255">
        <f>'Pro Forma'!$I$21-(-PMT(Assumptions!$C$36/12,Assumptions!$C$38*12,G74)*12)+('Pro Forma'!$I$21/0.07)*(1-Assumptions!$C$46)-I74</f>
        <v>1017471.5609995741</v>
      </c>
    </row>
    <row r="100" spans="2:7" ht="15.75" customHeight="1" x14ac:dyDescent="0.2">
      <c r="B100" s="255">
        <f>-(F74-G74)</f>
        <v>-1587160.9638399999</v>
      </c>
      <c r="C100" s="255">
        <f>'Pro Forma'!$E$21-H74</f>
        <v>60590.106174000015</v>
      </c>
      <c r="D100" s="255">
        <f>'Pro Forma'!$F$21-H74</f>
        <v>68111.636595600052</v>
      </c>
      <c r="E100" s="255">
        <f>'Pro Forma'!$G$21-(-PMT(Assumptions!$C$36/12,Assumptions!$C$38*12,G74)*12)</f>
        <v>42141.051535125531</v>
      </c>
      <c r="F100" s="255">
        <f>'Pro Forma'!$H$21-(-PMT(Assumptions!$C$36/12,Assumptions!$C$38*12,G74)*12)</f>
        <v>48024.932638213329</v>
      </c>
      <c r="G100" s="255">
        <f>'Pro Forma'!$I$21-(-PMT(Assumptions!$C$36/12,Assumptions!$C$38*12,G74)*12)+('Pro Forma'!$I$21/0.075)*(1-Assumptions!$C$46)-I74</f>
        <v>765226.25108106621</v>
      </c>
    </row>
    <row r="101" spans="2:7" ht="15.75" customHeight="1" x14ac:dyDescent="0.2">
      <c r="B101" s="255">
        <f>-(F74-G74)</f>
        <v>-1587160.9638399999</v>
      </c>
      <c r="C101" s="255">
        <f>'Pro Forma'!$E$21-H74</f>
        <v>60590.106174000015</v>
      </c>
      <c r="D101" s="255">
        <f>'Pro Forma'!$F$21-H74</f>
        <v>68111.636595600052</v>
      </c>
      <c r="E101" s="255">
        <f>'Pro Forma'!$G$21-(-PMT(Assumptions!$C$36/12,Assumptions!$C$38*12,G74)*12)</f>
        <v>42141.051535125531</v>
      </c>
      <c r="F101" s="255">
        <f>'Pro Forma'!$H$21-(-PMT(Assumptions!$C$36/12,Assumptions!$C$38*12,G74)*12)</f>
        <v>48024.932638213329</v>
      </c>
      <c r="G101" s="255">
        <f>'Pro Forma'!$I$21-(-PMT(Assumptions!$C$36/12,Assumptions!$C$38*12,G74)*12)+('Pro Forma'!$I$21/0.08)*(1-Assumptions!$C$46)-I74</f>
        <v>544511.60490237037</v>
      </c>
    </row>
    <row r="102" spans="2:7" ht="15.75" customHeight="1" x14ac:dyDescent="0.2">
      <c r="B102" s="255">
        <f>-(F75-G75)</f>
        <v>-1396137.9690057142</v>
      </c>
      <c r="C102" s="255">
        <f>'Pro Forma'!$E$21-H75</f>
        <v>87751.188252000022</v>
      </c>
      <c r="D102" s="255">
        <f>'Pro Forma'!$F$21-H75</f>
        <v>95272.718673600059</v>
      </c>
      <c r="E102" s="255">
        <f>'Pro Forma'!$G$21-(-PMT(Assumptions!$C$36/12,Assumptions!$C$38*12,G75)*12)</f>
        <v>73835.177316611633</v>
      </c>
      <c r="F102" s="255">
        <f>'Pro Forma'!$H$21-(-PMT(Assumptions!$C$36/12,Assumptions!$C$38*12,G75)*12)</f>
        <v>79719.058419699431</v>
      </c>
      <c r="G102" s="255">
        <f>'Pro Forma'!$I$21-(-PMT(Assumptions!$C$36/12,Assumptions!$C$38*12,G75)*12)+('Pro Forma'!$I$21/0.05)*(1-Assumptions!$C$46)-I75</f>
        <v>2965529.3341536908</v>
      </c>
    </row>
    <row r="103" spans="2:7" ht="15.75" customHeight="1" x14ac:dyDescent="0.2">
      <c r="B103" s="255">
        <f>-(F75-G75)</f>
        <v>-1396137.9690057142</v>
      </c>
      <c r="C103" s="255">
        <f>'Pro Forma'!$E$21-H75</f>
        <v>87751.188252000022</v>
      </c>
      <c r="D103" s="255">
        <f>'Pro Forma'!$F$21-H75</f>
        <v>95272.718673600059</v>
      </c>
      <c r="E103" s="255">
        <f>'Pro Forma'!$G$21-(-PMT(Assumptions!$C$36/12,Assumptions!$C$38*12,G75)*12)</f>
        <v>73835.177316611633</v>
      </c>
      <c r="F103" s="255">
        <f>'Pro Forma'!$H$21-(-PMT(Assumptions!$C$36/12,Assumptions!$C$38*12,G75)*12)</f>
        <v>79719.058419699431</v>
      </c>
      <c r="G103" s="255">
        <f>'Pro Forma'!$I$21-(-PMT(Assumptions!$C$36/12,Assumptions!$C$38*12,G75)*12)+('Pro Forma'!$I$21/0.055)*(1-Assumptions!$C$46)-I75</f>
        <v>2483970.106127447</v>
      </c>
    </row>
    <row r="104" spans="2:7" ht="15.75" customHeight="1" x14ac:dyDescent="0.2">
      <c r="B104" s="255">
        <f>-(F75-G75)</f>
        <v>-1396137.9690057142</v>
      </c>
      <c r="C104" s="255">
        <f>'Pro Forma'!$E$21-H75</f>
        <v>87751.188252000022</v>
      </c>
      <c r="D104" s="255">
        <f>'Pro Forma'!$F$21-H75</f>
        <v>95272.718673600059</v>
      </c>
      <c r="E104" s="255">
        <f>'Pro Forma'!$G$21-(-PMT(Assumptions!$C$36/12,Assumptions!$C$38*12,G75)*12)</f>
        <v>73835.177316611633</v>
      </c>
      <c r="F104" s="255">
        <f>'Pro Forma'!$H$21-(-PMT(Assumptions!$C$36/12,Assumptions!$C$38*12,G75)*12)</f>
        <v>79719.058419699431</v>
      </c>
      <c r="G104" s="255">
        <f>'Pro Forma'!$I$21-(-PMT(Assumptions!$C$36/12,Assumptions!$C$38*12,G75)*12)+('Pro Forma'!$I$21/0.06)*(1-Assumptions!$C$46)-I75</f>
        <v>2082670.7494389093</v>
      </c>
    </row>
    <row r="105" spans="2:7" ht="15.75" customHeight="1" x14ac:dyDescent="0.2">
      <c r="B105" s="255">
        <f>-(F75-G75)</f>
        <v>-1396137.9690057142</v>
      </c>
      <c r="C105" s="255">
        <f>'Pro Forma'!$E$21-H75</f>
        <v>87751.188252000022</v>
      </c>
      <c r="D105" s="255">
        <f>'Pro Forma'!$F$21-H75</f>
        <v>95272.718673600059</v>
      </c>
      <c r="E105" s="255">
        <f>'Pro Forma'!$G$21-(-PMT(Assumptions!$C$36/12,Assumptions!$C$38*12,G75)*12)</f>
        <v>73835.177316611633</v>
      </c>
      <c r="F105" s="255">
        <f>'Pro Forma'!$H$21-(-PMT(Assumptions!$C$36/12,Assumptions!$C$38*12,G75)*12)</f>
        <v>79719.058419699431</v>
      </c>
      <c r="G105" s="255">
        <f>'Pro Forma'!$I$21-(-PMT(Assumptions!$C$36/12,Assumptions!$C$38*12,G75)*12)+('Pro Forma'!$I$21/0.065)*(1-Assumptions!$C$46)-I75</f>
        <v>1743109.7553178393</v>
      </c>
    </row>
    <row r="106" spans="2:7" ht="15.75" customHeight="1" x14ac:dyDescent="0.2">
      <c r="B106" s="255">
        <f>-(F75-G75)</f>
        <v>-1396137.9690057142</v>
      </c>
      <c r="C106" s="255">
        <f>'Pro Forma'!$E$21-H75</f>
        <v>87751.188252000022</v>
      </c>
      <c r="D106" s="255">
        <f>'Pro Forma'!$F$21-H75</f>
        <v>95272.718673600059</v>
      </c>
      <c r="E106" s="255">
        <f>'Pro Forma'!$G$21-(-PMT(Assumptions!$C$36/12,Assumptions!$C$38*12,G75)*12)</f>
        <v>73835.177316611633</v>
      </c>
      <c r="F106" s="255">
        <f>'Pro Forma'!$H$21-(-PMT(Assumptions!$C$36/12,Assumptions!$C$38*12,G75)*12)</f>
        <v>79719.058419699431</v>
      </c>
      <c r="G106" s="255">
        <f>'Pro Forma'!$I$21-(-PMT(Assumptions!$C$36/12,Assumptions!$C$38*12,G75)*12)+('Pro Forma'!$I$21/0.07)*(1-Assumptions!$C$46)-I75</f>
        <v>1452057.4746426358</v>
      </c>
    </row>
    <row r="107" spans="2:7" ht="15.75" customHeight="1" x14ac:dyDescent="0.2">
      <c r="B107" s="255">
        <f>-(F75-G75)</f>
        <v>-1396137.9690057142</v>
      </c>
      <c r="C107" s="255">
        <f>'Pro Forma'!$E$21-H75</f>
        <v>87751.188252000022</v>
      </c>
      <c r="D107" s="255">
        <f>'Pro Forma'!$F$21-H75</f>
        <v>95272.718673600059</v>
      </c>
      <c r="E107" s="255">
        <f>'Pro Forma'!$G$21-(-PMT(Assumptions!$C$36/12,Assumptions!$C$38*12,G75)*12)</f>
        <v>73835.177316611633</v>
      </c>
      <c r="F107" s="255">
        <f>'Pro Forma'!$H$21-(-PMT(Assumptions!$C$36/12,Assumptions!$C$38*12,G75)*12)</f>
        <v>79719.058419699431</v>
      </c>
      <c r="G107" s="255">
        <f>'Pro Forma'!$I$21-(-PMT(Assumptions!$C$36/12,Assumptions!$C$38*12,G75)*12)+('Pro Forma'!$I$21/0.075)*(1-Assumptions!$C$46)-I75</f>
        <v>1199812.1647241279</v>
      </c>
    </row>
    <row r="108" spans="2:7" ht="15.75" customHeight="1" x14ac:dyDescent="0.2">
      <c r="B108" s="255">
        <f>-(F75-G75)</f>
        <v>-1396137.9690057142</v>
      </c>
      <c r="C108" s="255">
        <f>'Pro Forma'!$E$21-H75</f>
        <v>87751.188252000022</v>
      </c>
      <c r="D108" s="255">
        <f>'Pro Forma'!$F$21-H75</f>
        <v>95272.718673600059</v>
      </c>
      <c r="E108" s="255">
        <f>'Pro Forma'!$G$21-(-PMT(Assumptions!$C$36/12,Assumptions!$C$38*12,G75)*12)</f>
        <v>73835.177316611633</v>
      </c>
      <c r="F108" s="255">
        <f>'Pro Forma'!$H$21-(-PMT(Assumptions!$C$36/12,Assumptions!$C$38*12,G75)*12)</f>
        <v>79719.058419699431</v>
      </c>
      <c r="G108" s="255">
        <f>'Pro Forma'!$I$21-(-PMT(Assumptions!$C$36/12,Assumptions!$C$38*12,G75)*12)+('Pro Forma'!$I$21/0.08)*(1-Assumptions!$C$46)-I75</f>
        <v>979097.51854543248</v>
      </c>
    </row>
    <row r="109" spans="2:7" ht="15.75" customHeight="1" x14ac:dyDescent="0.2">
      <c r="B109" s="255">
        <f>-(F76-G76)</f>
        <v>-1252870.7228800002</v>
      </c>
      <c r="C109" s="255">
        <f>'Pro Forma'!$E$21-H76</f>
        <v>108121.99981050001</v>
      </c>
      <c r="D109" s="255">
        <f>'Pro Forma'!$F$21-H76</f>
        <v>115643.53023210005</v>
      </c>
      <c r="E109" s="255">
        <f>'Pro Forma'!$G$21-(-PMT(Assumptions!$C$36/12,Assumptions!$C$38*12,G76)*12)</f>
        <v>97605.771652726165</v>
      </c>
      <c r="F109" s="255">
        <f>'Pro Forma'!$H$21-(-PMT(Assumptions!$C$36/12,Assumptions!$C$38*12,G76)*12)</f>
        <v>103489.65275581396</v>
      </c>
      <c r="G109" s="255">
        <f>'Pro Forma'!$I$21-(-PMT(Assumptions!$C$36/12,Assumptions!$C$38*12,G76)*12)+('Pro Forma'!$I$21/0.05)*(1-Assumptions!$C$46)-I76</f>
        <v>3291468.769385987</v>
      </c>
    </row>
    <row r="110" spans="2:7" ht="15.75" customHeight="1" x14ac:dyDescent="0.2">
      <c r="B110" s="255">
        <f>-(F76-G76)</f>
        <v>-1252870.7228800002</v>
      </c>
      <c r="C110" s="255">
        <f>'Pro Forma'!$E$21-H76</f>
        <v>108121.99981050001</v>
      </c>
      <c r="D110" s="255">
        <f>'Pro Forma'!$F$21-H76</f>
        <v>115643.53023210005</v>
      </c>
      <c r="E110" s="255">
        <f>'Pro Forma'!$G$21-(-PMT(Assumptions!$C$36/12,Assumptions!$C$38*12,G76)*12)</f>
        <v>97605.771652726165</v>
      </c>
      <c r="F110" s="255">
        <f>'Pro Forma'!$H$21-(-PMT(Assumptions!$C$36/12,Assumptions!$C$38*12,G76)*12)</f>
        <v>103489.65275581396</v>
      </c>
      <c r="G110" s="255">
        <f>'Pro Forma'!$I$21-(-PMT(Assumptions!$C$36/12,Assumptions!$C$38*12,G76)*12)+('Pro Forma'!$I$21/0.055)*(1-Assumptions!$C$46)-I76</f>
        <v>2809909.5413597431</v>
      </c>
    </row>
    <row r="111" spans="2:7" ht="15.75" customHeight="1" x14ac:dyDescent="0.2">
      <c r="B111" s="255">
        <f>-(F76-G76)</f>
        <v>-1252870.7228800002</v>
      </c>
      <c r="C111" s="255">
        <f>'Pro Forma'!$E$21-H76</f>
        <v>108121.99981050001</v>
      </c>
      <c r="D111" s="255">
        <f>'Pro Forma'!$F$21-H76</f>
        <v>115643.53023210005</v>
      </c>
      <c r="E111" s="255">
        <f>'Pro Forma'!$G$21-(-PMT(Assumptions!$C$36/12,Assumptions!$C$38*12,G76)*12)</f>
        <v>97605.771652726165</v>
      </c>
      <c r="F111" s="255">
        <f>'Pro Forma'!$H$21-(-PMT(Assumptions!$C$36/12,Assumptions!$C$38*12,G76)*12)</f>
        <v>103489.65275581396</v>
      </c>
      <c r="G111" s="255">
        <f>'Pro Forma'!$I$21-(-PMT(Assumptions!$C$36/12,Assumptions!$C$38*12,G76)*12)+('Pro Forma'!$I$21/0.06)*(1-Assumptions!$C$46)-I76</f>
        <v>2408610.1846712055</v>
      </c>
    </row>
    <row r="112" spans="2:7" ht="15.75" customHeight="1" x14ac:dyDescent="0.2">
      <c r="B112" s="255">
        <f>-(F76-G76)</f>
        <v>-1252870.7228800002</v>
      </c>
      <c r="C112" s="255">
        <f>'Pro Forma'!$E$21-H76</f>
        <v>108121.99981050001</v>
      </c>
      <c r="D112" s="255">
        <f>'Pro Forma'!$F$21-H76</f>
        <v>115643.53023210005</v>
      </c>
      <c r="E112" s="255">
        <f>'Pro Forma'!$G$21-(-PMT(Assumptions!$C$36/12,Assumptions!$C$38*12,G76)*12)</f>
        <v>97605.771652726165</v>
      </c>
      <c r="F112" s="255">
        <f>'Pro Forma'!$H$21-(-PMT(Assumptions!$C$36/12,Assumptions!$C$38*12,G76)*12)</f>
        <v>103489.65275581396</v>
      </c>
      <c r="G112" s="255">
        <f>'Pro Forma'!$I$21-(-PMT(Assumptions!$C$36/12,Assumptions!$C$38*12,G76)*12)+('Pro Forma'!$I$21/0.065)*(1-Assumptions!$C$46)-I76</f>
        <v>2069049.190550135</v>
      </c>
    </row>
    <row r="113" spans="2:7" ht="15.75" customHeight="1" x14ac:dyDescent="0.2">
      <c r="B113" s="255">
        <f>-(F76-G76)</f>
        <v>-1252870.7228800002</v>
      </c>
      <c r="C113" s="255">
        <f>'Pro Forma'!$E$21-H76</f>
        <v>108121.99981050001</v>
      </c>
      <c r="D113" s="255">
        <f>'Pro Forma'!$F$21-H76</f>
        <v>115643.53023210005</v>
      </c>
      <c r="E113" s="255">
        <f>'Pro Forma'!$G$21-(-PMT(Assumptions!$C$36/12,Assumptions!$C$38*12,G76)*12)</f>
        <v>97605.771652726165</v>
      </c>
      <c r="F113" s="255">
        <f>'Pro Forma'!$H$21-(-PMT(Assumptions!$C$36/12,Assumptions!$C$38*12,G76)*12)</f>
        <v>103489.65275581396</v>
      </c>
      <c r="G113" s="255">
        <f>'Pro Forma'!$I$21-(-PMT(Assumptions!$C$36/12,Assumptions!$C$38*12,G76)*12)+('Pro Forma'!$I$21/0.07)*(1-Assumptions!$C$46)-I76</f>
        <v>1777996.9098749319</v>
      </c>
    </row>
    <row r="114" spans="2:7" ht="15.75" customHeight="1" x14ac:dyDescent="0.2">
      <c r="B114" s="255">
        <f>-(F76-G76)</f>
        <v>-1252870.7228800002</v>
      </c>
      <c r="C114" s="255">
        <f>'Pro Forma'!$E$21-H76</f>
        <v>108121.99981050001</v>
      </c>
      <c r="D114" s="255">
        <f>'Pro Forma'!$F$21-H76</f>
        <v>115643.53023210005</v>
      </c>
      <c r="E114" s="255">
        <f>'Pro Forma'!$G$21-(-PMT(Assumptions!$C$36/12,Assumptions!$C$38*12,G76)*12)</f>
        <v>97605.771652726165</v>
      </c>
      <c r="F114" s="255">
        <f>'Pro Forma'!$H$21-(-PMT(Assumptions!$C$36/12,Assumptions!$C$38*12,G76)*12)</f>
        <v>103489.65275581396</v>
      </c>
      <c r="G114" s="255">
        <f>'Pro Forma'!$I$21-(-PMT(Assumptions!$C$36/12,Assumptions!$C$38*12,G76)*12)+('Pro Forma'!$I$21/0.075)*(1-Assumptions!$C$46)-I76</f>
        <v>1525751.599956424</v>
      </c>
    </row>
    <row r="115" spans="2:7" ht="15.75" customHeight="1" x14ac:dyDescent="0.2">
      <c r="B115" s="255">
        <f>-(F76-G76)</f>
        <v>-1252870.7228800002</v>
      </c>
      <c r="C115" s="255">
        <f>'Pro Forma'!$E$21-H76</f>
        <v>108121.99981050001</v>
      </c>
      <c r="D115" s="255">
        <f>'Pro Forma'!$F$21-H76</f>
        <v>115643.53023210005</v>
      </c>
      <c r="E115" s="255">
        <f>'Pro Forma'!$G$21-(-PMT(Assumptions!$C$36/12,Assumptions!$C$38*12,G76)*12)</f>
        <v>97605.771652726165</v>
      </c>
      <c r="F115" s="255">
        <f>'Pro Forma'!$H$21-(-PMT(Assumptions!$C$36/12,Assumptions!$C$38*12,G76)*12)</f>
        <v>103489.65275581396</v>
      </c>
      <c r="G115" s="255">
        <f>'Pro Forma'!$I$21-(-PMT(Assumptions!$C$36/12,Assumptions!$C$38*12,G76)*12)+('Pro Forma'!$I$21/0.08)*(1-Assumptions!$C$46)-I76</f>
        <v>1305036.9537777281</v>
      </c>
    </row>
    <row r="116" spans="2:7" ht="15.75" customHeight="1" x14ac:dyDescent="0.2">
      <c r="B116" s="255">
        <f>-(F77-G77)</f>
        <v>-1141440.6425600001</v>
      </c>
      <c r="C116" s="255">
        <f>'Pro Forma'!$E$21-H77</f>
        <v>123965.96435600003</v>
      </c>
      <c r="D116" s="255">
        <f>'Pro Forma'!$F$21-H77</f>
        <v>131487.49477760005</v>
      </c>
      <c r="E116" s="255">
        <f>'Pro Forma'!$G$21-(-PMT(Assumptions!$C$36/12,Assumptions!$C$38*12,G77)*12)</f>
        <v>116094.0116919264</v>
      </c>
      <c r="F116" s="255">
        <f>'Pro Forma'!$H$21-(-PMT(Assumptions!$C$36/12,Assumptions!$C$38*12,G77)*12)</f>
        <v>121977.8927950142</v>
      </c>
      <c r="G116" s="255">
        <f>'Pro Forma'!$I$21-(-PMT(Assumptions!$C$36/12,Assumptions!$C$38*12,G77)*12)+('Pro Forma'!$I$21/0.05)*(1-Assumptions!$C$46)-I77</f>
        <v>3544977.2190111065</v>
      </c>
    </row>
    <row r="117" spans="2:7" ht="15.75" customHeight="1" x14ac:dyDescent="0.2">
      <c r="B117" s="255">
        <f>-(F77-G77)</f>
        <v>-1141440.6425600001</v>
      </c>
      <c r="C117" s="255">
        <f>'Pro Forma'!$E$21-H77</f>
        <v>123965.96435600003</v>
      </c>
      <c r="D117" s="255">
        <f>'Pro Forma'!$F$21-H77</f>
        <v>131487.49477760005</v>
      </c>
      <c r="E117" s="255">
        <f>'Pro Forma'!$G$21-(-PMT(Assumptions!$C$36/12,Assumptions!$C$38*12,G77)*12)</f>
        <v>116094.0116919264</v>
      </c>
      <c r="F117" s="255">
        <f>'Pro Forma'!$H$21-(-PMT(Assumptions!$C$36/12,Assumptions!$C$38*12,G77)*12)</f>
        <v>121977.8927950142</v>
      </c>
      <c r="G117" s="255">
        <f>'Pro Forma'!$I$21-(-PMT(Assumptions!$C$36/12,Assumptions!$C$38*12,G77)*12)+('Pro Forma'!$I$21/0.055)*(1-Assumptions!$C$46)-I77</f>
        <v>3063417.9909848627</v>
      </c>
    </row>
    <row r="118" spans="2:7" ht="15.75" customHeight="1" x14ac:dyDescent="0.2">
      <c r="B118" s="255">
        <f>-(F77-G77)</f>
        <v>-1141440.6425600001</v>
      </c>
      <c r="C118" s="255">
        <f>'Pro Forma'!$E$21-H77</f>
        <v>123965.96435600003</v>
      </c>
      <c r="D118" s="255">
        <f>'Pro Forma'!$F$21-H77</f>
        <v>131487.49477760005</v>
      </c>
      <c r="E118" s="255">
        <f>'Pro Forma'!$G$21-(-PMT(Assumptions!$C$36/12,Assumptions!$C$38*12,G77)*12)</f>
        <v>116094.0116919264</v>
      </c>
      <c r="F118" s="255">
        <f>'Pro Forma'!$H$21-(-PMT(Assumptions!$C$36/12,Assumptions!$C$38*12,G77)*12)</f>
        <v>121977.8927950142</v>
      </c>
      <c r="G118" s="255">
        <f>'Pro Forma'!$I$21-(-PMT(Assumptions!$C$36/12,Assumptions!$C$38*12,G77)*12)+('Pro Forma'!$I$21/0.06)*(1-Assumptions!$C$46)-I77</f>
        <v>2662118.634296325</v>
      </c>
    </row>
    <row r="119" spans="2:7" ht="15.75" customHeight="1" x14ac:dyDescent="0.2">
      <c r="B119" s="255">
        <f>-(F77-G77)</f>
        <v>-1141440.6425600001</v>
      </c>
      <c r="C119" s="255">
        <f>'Pro Forma'!$E$21-H77</f>
        <v>123965.96435600003</v>
      </c>
      <c r="D119" s="255">
        <f>'Pro Forma'!$F$21-H77</f>
        <v>131487.49477760005</v>
      </c>
      <c r="E119" s="255">
        <f>'Pro Forma'!$G$21-(-PMT(Assumptions!$C$36/12,Assumptions!$C$38*12,G77)*12)</f>
        <v>116094.0116919264</v>
      </c>
      <c r="F119" s="255">
        <f>'Pro Forma'!$H$21-(-PMT(Assumptions!$C$36/12,Assumptions!$C$38*12,G77)*12)</f>
        <v>121977.8927950142</v>
      </c>
      <c r="G119" s="255">
        <f>'Pro Forma'!$I$21-(-PMT(Assumptions!$C$36/12,Assumptions!$C$38*12,G77)*12)+('Pro Forma'!$I$21/0.065)*(1-Assumptions!$C$46)-I77</f>
        <v>2322557.6401752541</v>
      </c>
    </row>
    <row r="120" spans="2:7" ht="15.75" customHeight="1" x14ac:dyDescent="0.2">
      <c r="B120" s="255">
        <f>-(F77-G77)</f>
        <v>-1141440.6425600001</v>
      </c>
      <c r="C120" s="255">
        <f>'Pro Forma'!$E$21-H77</f>
        <v>123965.96435600003</v>
      </c>
      <c r="D120" s="255">
        <f>'Pro Forma'!$F$21-H77</f>
        <v>131487.49477760005</v>
      </c>
      <c r="E120" s="255">
        <f>'Pro Forma'!$G$21-(-PMT(Assumptions!$C$36/12,Assumptions!$C$38*12,G77)*12)</f>
        <v>116094.0116919264</v>
      </c>
      <c r="F120" s="255">
        <f>'Pro Forma'!$H$21-(-PMT(Assumptions!$C$36/12,Assumptions!$C$38*12,G77)*12)</f>
        <v>121977.8927950142</v>
      </c>
      <c r="G120" s="255">
        <f>'Pro Forma'!$I$21-(-PMT(Assumptions!$C$36/12,Assumptions!$C$38*12,G77)*12)+('Pro Forma'!$I$21/0.07)*(1-Assumptions!$C$46)-I77</f>
        <v>2031505.3595000512</v>
      </c>
    </row>
    <row r="121" spans="2:7" ht="15.75" customHeight="1" x14ac:dyDescent="0.2">
      <c r="B121" s="255">
        <f>-(F77-G77)</f>
        <v>-1141440.6425600001</v>
      </c>
      <c r="C121" s="255">
        <f>'Pro Forma'!$E$21-H77</f>
        <v>123965.96435600003</v>
      </c>
      <c r="D121" s="255">
        <f>'Pro Forma'!$F$21-H77</f>
        <v>131487.49477760005</v>
      </c>
      <c r="E121" s="255">
        <f>'Pro Forma'!$G$21-(-PMT(Assumptions!$C$36/12,Assumptions!$C$38*12,G77)*12)</f>
        <v>116094.0116919264</v>
      </c>
      <c r="F121" s="255">
        <f>'Pro Forma'!$H$21-(-PMT(Assumptions!$C$36/12,Assumptions!$C$38*12,G77)*12)</f>
        <v>121977.8927950142</v>
      </c>
      <c r="G121" s="255">
        <f>'Pro Forma'!$I$21-(-PMT(Assumptions!$C$36/12,Assumptions!$C$38*12,G77)*12)+('Pro Forma'!$I$21/0.075)*(1-Assumptions!$C$46)-I77</f>
        <v>1779260.0495815433</v>
      </c>
    </row>
    <row r="122" spans="2:7" ht="15.75" customHeight="1" x14ac:dyDescent="0.2">
      <c r="B122" s="255">
        <f>-(F77-G77)</f>
        <v>-1141440.6425600001</v>
      </c>
      <c r="C122" s="255">
        <f>'Pro Forma'!$E$21-H77</f>
        <v>123965.96435600003</v>
      </c>
      <c r="D122" s="255">
        <f>'Pro Forma'!$F$21-H77</f>
        <v>131487.49477760005</v>
      </c>
      <c r="E122" s="255">
        <f>'Pro Forma'!$G$21-(-PMT(Assumptions!$C$36/12,Assumptions!$C$38*12,G77)*12)</f>
        <v>116094.0116919264</v>
      </c>
      <c r="F122" s="255">
        <f>'Pro Forma'!$H$21-(-PMT(Assumptions!$C$36/12,Assumptions!$C$38*12,G77)*12)</f>
        <v>121977.8927950142</v>
      </c>
      <c r="G122" s="255">
        <f>'Pro Forma'!$I$21-(-PMT(Assumptions!$C$36/12,Assumptions!$C$38*12,G77)*12)+('Pro Forma'!$I$21/0.08)*(1-Assumptions!$C$46)-I77</f>
        <v>1558545.4034028475</v>
      </c>
    </row>
    <row r="123" spans="2:7" ht="15.75" customHeight="1" x14ac:dyDescent="0.2">
      <c r="B123" s="255">
        <f>-(F78-G78)</f>
        <v>-1052296.578304</v>
      </c>
      <c r="C123" s="255">
        <f>'Pro Forma'!$E$21-H78</f>
        <v>136641.1359924</v>
      </c>
      <c r="D123" s="255">
        <f>'Pro Forma'!$F$21-H78</f>
        <v>144162.66641400004</v>
      </c>
      <c r="E123" s="255">
        <f>'Pro Forma'!$G$21-(-PMT(Assumptions!$C$36/12,Assumptions!$C$38*12,G78)*12)</f>
        <v>130884.60372328653</v>
      </c>
      <c r="F123" s="255">
        <f>'Pro Forma'!$H$21-(-PMT(Assumptions!$C$36/12,Assumptions!$C$38*12,G78)*12)</f>
        <v>136768.48482637433</v>
      </c>
      <c r="G123" s="255">
        <f>'Pro Forma'!$I$21-(-PMT(Assumptions!$C$36/12,Assumptions!$C$38*12,G78)*12)+('Pro Forma'!$I$21/0.05)*(1-Assumptions!$C$46)-I78</f>
        <v>3747783.9787112018</v>
      </c>
    </row>
    <row r="124" spans="2:7" ht="15.75" customHeight="1" x14ac:dyDescent="0.2">
      <c r="B124" s="255">
        <f>-(F78-G78)</f>
        <v>-1052296.578304</v>
      </c>
      <c r="C124" s="255">
        <f>'Pro Forma'!$E$21-H78</f>
        <v>136641.1359924</v>
      </c>
      <c r="D124" s="255">
        <f>'Pro Forma'!$F$21-H78</f>
        <v>144162.66641400004</v>
      </c>
      <c r="E124" s="255">
        <f>'Pro Forma'!$G$21-(-PMT(Assumptions!$C$36/12,Assumptions!$C$38*12,G78)*12)</f>
        <v>130884.60372328653</v>
      </c>
      <c r="F124" s="255">
        <f>'Pro Forma'!$H$21-(-PMT(Assumptions!$C$36/12,Assumptions!$C$38*12,G78)*12)</f>
        <v>136768.48482637433</v>
      </c>
      <c r="G124" s="255">
        <f>'Pro Forma'!$I$21-(-PMT(Assumptions!$C$36/12,Assumptions!$C$38*12,G78)*12)+('Pro Forma'!$I$21/0.055)*(1-Assumptions!$C$46)-I78</f>
        <v>3266224.750684958</v>
      </c>
    </row>
    <row r="125" spans="2:7" ht="15.75" customHeight="1" x14ac:dyDescent="0.2">
      <c r="B125" s="255">
        <f>-(F78-G78)</f>
        <v>-1052296.578304</v>
      </c>
      <c r="C125" s="255">
        <f>'Pro Forma'!$E$21-H78</f>
        <v>136641.1359924</v>
      </c>
      <c r="D125" s="255">
        <f>'Pro Forma'!$F$21-H78</f>
        <v>144162.66641400004</v>
      </c>
      <c r="E125" s="255">
        <f>'Pro Forma'!$G$21-(-PMT(Assumptions!$C$36/12,Assumptions!$C$38*12,G78)*12)</f>
        <v>130884.60372328653</v>
      </c>
      <c r="F125" s="255">
        <f>'Pro Forma'!$H$21-(-PMT(Assumptions!$C$36/12,Assumptions!$C$38*12,G78)*12)</f>
        <v>136768.48482637433</v>
      </c>
      <c r="G125" s="255">
        <f>'Pro Forma'!$I$21-(-PMT(Assumptions!$C$36/12,Assumptions!$C$38*12,G78)*12)+('Pro Forma'!$I$21/0.06)*(1-Assumptions!$C$46)-I78</f>
        <v>2864925.3939964203</v>
      </c>
    </row>
    <row r="126" spans="2:7" ht="15.75" customHeight="1" x14ac:dyDescent="0.2">
      <c r="B126" s="255">
        <f>-(F78-G78)</f>
        <v>-1052296.578304</v>
      </c>
      <c r="C126" s="255">
        <f>'Pro Forma'!$E$21-H78</f>
        <v>136641.1359924</v>
      </c>
      <c r="D126" s="255">
        <f>'Pro Forma'!$F$21-H78</f>
        <v>144162.66641400004</v>
      </c>
      <c r="E126" s="255">
        <f>'Pro Forma'!$G$21-(-PMT(Assumptions!$C$36/12,Assumptions!$C$38*12,G78)*12)</f>
        <v>130884.60372328653</v>
      </c>
      <c r="F126" s="255">
        <f>'Pro Forma'!$H$21-(-PMT(Assumptions!$C$36/12,Assumptions!$C$38*12,G78)*12)</f>
        <v>136768.48482637433</v>
      </c>
      <c r="G126" s="255">
        <f>'Pro Forma'!$I$21-(-PMT(Assumptions!$C$36/12,Assumptions!$C$38*12,G78)*12)+('Pro Forma'!$I$21/0.065)*(1-Assumptions!$C$46)-I78</f>
        <v>2525364.3998753503</v>
      </c>
    </row>
    <row r="127" spans="2:7" ht="15.75" customHeight="1" x14ac:dyDescent="0.2">
      <c r="B127" s="255">
        <f>-(F78-G78)</f>
        <v>-1052296.578304</v>
      </c>
      <c r="C127" s="255">
        <f>'Pro Forma'!$E$21-H78</f>
        <v>136641.1359924</v>
      </c>
      <c r="D127" s="255">
        <f>'Pro Forma'!$F$21-H78</f>
        <v>144162.66641400004</v>
      </c>
      <c r="E127" s="255">
        <f>'Pro Forma'!$G$21-(-PMT(Assumptions!$C$36/12,Assumptions!$C$38*12,G78)*12)</f>
        <v>130884.60372328653</v>
      </c>
      <c r="F127" s="255">
        <f>'Pro Forma'!$H$21-(-PMT(Assumptions!$C$36/12,Assumptions!$C$38*12,G78)*12)</f>
        <v>136768.48482637433</v>
      </c>
      <c r="G127" s="255">
        <f>'Pro Forma'!$I$21-(-PMT(Assumptions!$C$36/12,Assumptions!$C$38*12,G78)*12)+('Pro Forma'!$I$21/0.07)*(1-Assumptions!$C$46)-I78</f>
        <v>2234312.1192001468</v>
      </c>
    </row>
    <row r="128" spans="2:7" ht="15.75" customHeight="1" x14ac:dyDescent="0.2">
      <c r="B128" s="255">
        <f>-(F78-G78)</f>
        <v>-1052296.578304</v>
      </c>
      <c r="C128" s="255">
        <f>'Pro Forma'!$E$21-H78</f>
        <v>136641.1359924</v>
      </c>
      <c r="D128" s="255">
        <f>'Pro Forma'!$F$21-H78</f>
        <v>144162.66641400004</v>
      </c>
      <c r="E128" s="255">
        <f>'Pro Forma'!$G$21-(-PMT(Assumptions!$C$36/12,Assumptions!$C$38*12,G78)*12)</f>
        <v>130884.60372328653</v>
      </c>
      <c r="F128" s="255">
        <f>'Pro Forma'!$H$21-(-PMT(Assumptions!$C$36/12,Assumptions!$C$38*12,G78)*12)</f>
        <v>136768.48482637433</v>
      </c>
      <c r="G128" s="255">
        <f>'Pro Forma'!$I$21-(-PMT(Assumptions!$C$36/12,Assumptions!$C$38*12,G78)*12)+('Pro Forma'!$I$21/0.075)*(1-Assumptions!$C$46)-I78</f>
        <v>1982066.8092816386</v>
      </c>
    </row>
    <row r="129" spans="2:7" ht="15.75" customHeight="1" x14ac:dyDescent="0.2">
      <c r="B129" s="255">
        <f>-(F78-G78)</f>
        <v>-1052296.578304</v>
      </c>
      <c r="C129" s="255">
        <f>'Pro Forma'!$E$21-H78</f>
        <v>136641.1359924</v>
      </c>
      <c r="D129" s="255">
        <f>'Pro Forma'!$F$21-H78</f>
        <v>144162.66641400004</v>
      </c>
      <c r="E129" s="255">
        <f>'Pro Forma'!$G$21-(-PMT(Assumptions!$C$36/12,Assumptions!$C$38*12,G78)*12)</f>
        <v>130884.60372328653</v>
      </c>
      <c r="F129" s="255">
        <f>'Pro Forma'!$H$21-(-PMT(Assumptions!$C$36/12,Assumptions!$C$38*12,G78)*12)</f>
        <v>136768.48482637433</v>
      </c>
      <c r="G129" s="255">
        <f>'Pro Forma'!$I$21-(-PMT(Assumptions!$C$36/12,Assumptions!$C$38*12,G78)*12)+('Pro Forma'!$I$21/0.08)*(1-Assumptions!$C$46)-I78</f>
        <v>1761352.1631029428</v>
      </c>
    </row>
    <row r="130" spans="2:7" ht="15.75" customHeight="1" x14ac:dyDescent="0.2">
      <c r="B130" s="255">
        <f>-(F79-G79)</f>
        <v>-979360.52573090908</v>
      </c>
      <c r="C130" s="255">
        <f>'Pro Forma'!$E$21-H79</f>
        <v>147011.73096763637</v>
      </c>
      <c r="D130" s="255">
        <f>'Pro Forma'!$F$21-H79</f>
        <v>154533.2613892364</v>
      </c>
      <c r="E130" s="255">
        <f>'Pro Forma'!$G$21-(-PMT(Assumptions!$C$36/12,Assumptions!$C$38*12,G79)*12)</f>
        <v>142985.99720349029</v>
      </c>
      <c r="F130" s="255">
        <f>'Pro Forma'!$H$21-(-PMT(Assumptions!$C$36/12,Assumptions!$C$38*12,G79)*12)</f>
        <v>148869.87830657809</v>
      </c>
      <c r="G130" s="255">
        <f>'Pro Forma'!$I$21-(-PMT(Assumptions!$C$36/12,Assumptions!$C$38*12,G79)*12)+('Pro Forma'!$I$21/0.05)*(1-Assumptions!$C$46)-I79</f>
        <v>3913716.782102189</v>
      </c>
    </row>
    <row r="131" spans="2:7" ht="15.75" customHeight="1" x14ac:dyDescent="0.2">
      <c r="B131" s="255">
        <f>-(F79-G79)</f>
        <v>-979360.52573090908</v>
      </c>
      <c r="C131" s="255">
        <f>'Pro Forma'!$E$21-H79</f>
        <v>147011.73096763637</v>
      </c>
      <c r="D131" s="255">
        <f>'Pro Forma'!$F$21-H79</f>
        <v>154533.2613892364</v>
      </c>
      <c r="E131" s="255">
        <f>'Pro Forma'!$G$21-(-PMT(Assumptions!$C$36/12,Assumptions!$C$38*12,G79)*12)</f>
        <v>142985.99720349029</v>
      </c>
      <c r="F131" s="255">
        <f>'Pro Forma'!$H$21-(-PMT(Assumptions!$C$36/12,Assumptions!$C$38*12,G79)*12)</f>
        <v>148869.87830657809</v>
      </c>
      <c r="G131" s="255">
        <f>'Pro Forma'!$I$21-(-PMT(Assumptions!$C$36/12,Assumptions!$C$38*12,G79)*12)+('Pro Forma'!$I$21/0.055)*(1-Assumptions!$C$46)-I79</f>
        <v>3432157.5540759452</v>
      </c>
    </row>
    <row r="132" spans="2:7" ht="15.75" customHeight="1" x14ac:dyDescent="0.2">
      <c r="B132" s="255">
        <f>-(F79-G79)</f>
        <v>-979360.52573090908</v>
      </c>
      <c r="C132" s="255">
        <f>'Pro Forma'!$E$21-H79</f>
        <v>147011.73096763637</v>
      </c>
      <c r="D132" s="255">
        <f>'Pro Forma'!$F$21-H79</f>
        <v>154533.2613892364</v>
      </c>
      <c r="E132" s="255">
        <f>'Pro Forma'!$G$21-(-PMT(Assumptions!$C$36/12,Assumptions!$C$38*12,G79)*12)</f>
        <v>142985.99720349029</v>
      </c>
      <c r="F132" s="255">
        <f>'Pro Forma'!$H$21-(-PMT(Assumptions!$C$36/12,Assumptions!$C$38*12,G79)*12)</f>
        <v>148869.87830657809</v>
      </c>
      <c r="G132" s="255">
        <f>'Pro Forma'!$I$21-(-PMT(Assumptions!$C$36/12,Assumptions!$C$38*12,G79)*12)+('Pro Forma'!$I$21/0.06)*(1-Assumptions!$C$46)-I79</f>
        <v>3030858.1973874075</v>
      </c>
    </row>
    <row r="133" spans="2:7" ht="15.75" customHeight="1" x14ac:dyDescent="0.2">
      <c r="B133" s="255">
        <f>-(F79-G79)</f>
        <v>-979360.52573090908</v>
      </c>
      <c r="C133" s="255">
        <f>'Pro Forma'!$E$21-H79</f>
        <v>147011.73096763637</v>
      </c>
      <c r="D133" s="255">
        <f>'Pro Forma'!$F$21-H79</f>
        <v>154533.2613892364</v>
      </c>
      <c r="E133" s="255">
        <f>'Pro Forma'!$G$21-(-PMT(Assumptions!$C$36/12,Assumptions!$C$38*12,G79)*12)</f>
        <v>142985.99720349029</v>
      </c>
      <c r="F133" s="255">
        <f>'Pro Forma'!$H$21-(-PMT(Assumptions!$C$36/12,Assumptions!$C$38*12,G79)*12)</f>
        <v>148869.87830657809</v>
      </c>
      <c r="G133" s="255">
        <f>'Pro Forma'!$I$21-(-PMT(Assumptions!$C$36/12,Assumptions!$C$38*12,G79)*12)+('Pro Forma'!$I$21/0.065)*(1-Assumptions!$C$46)-I79</f>
        <v>2691297.2032663366</v>
      </c>
    </row>
    <row r="134" spans="2:7" ht="15.75" customHeight="1" x14ac:dyDescent="0.2">
      <c r="B134" s="255">
        <f>-(F79-G79)</f>
        <v>-979360.52573090908</v>
      </c>
      <c r="C134" s="255">
        <f>'Pro Forma'!$E$21-H79</f>
        <v>147011.73096763637</v>
      </c>
      <c r="D134" s="255">
        <f>'Pro Forma'!$F$21-H79</f>
        <v>154533.2613892364</v>
      </c>
      <c r="E134" s="255">
        <f>'Pro Forma'!$G$21-(-PMT(Assumptions!$C$36/12,Assumptions!$C$38*12,G79)*12)</f>
        <v>142985.99720349029</v>
      </c>
      <c r="F134" s="255">
        <f>'Pro Forma'!$H$21-(-PMT(Assumptions!$C$36/12,Assumptions!$C$38*12,G79)*12)</f>
        <v>148869.87830657809</v>
      </c>
      <c r="G134" s="255">
        <f>'Pro Forma'!$I$21-(-PMT(Assumptions!$C$36/12,Assumptions!$C$38*12,G79)*12)+('Pro Forma'!$I$21/0.07)*(1-Assumptions!$C$46)-I79</f>
        <v>2400244.922591134</v>
      </c>
    </row>
    <row r="135" spans="2:7" ht="15.75" customHeight="1" x14ac:dyDescent="0.2">
      <c r="B135" s="255">
        <f>-(F79-G79)</f>
        <v>-979360.52573090908</v>
      </c>
      <c r="C135" s="255">
        <f>'Pro Forma'!$E$21-H79</f>
        <v>147011.73096763637</v>
      </c>
      <c r="D135" s="255">
        <f>'Pro Forma'!$F$21-H79</f>
        <v>154533.2613892364</v>
      </c>
      <c r="E135" s="255">
        <f>'Pro Forma'!$G$21-(-PMT(Assumptions!$C$36/12,Assumptions!$C$38*12,G79)*12)</f>
        <v>142985.99720349029</v>
      </c>
      <c r="F135" s="255">
        <f>'Pro Forma'!$H$21-(-PMT(Assumptions!$C$36/12,Assumptions!$C$38*12,G79)*12)</f>
        <v>148869.87830657809</v>
      </c>
      <c r="G135" s="255">
        <f>'Pro Forma'!$I$21-(-PMT(Assumptions!$C$36/12,Assumptions!$C$38*12,G79)*12)+('Pro Forma'!$I$21/0.075)*(1-Assumptions!$C$46)-I79</f>
        <v>2147999.612672626</v>
      </c>
    </row>
    <row r="136" spans="2:7" ht="15.75" customHeight="1" x14ac:dyDescent="0.2">
      <c r="B136" s="255">
        <f>-(F79-G79)</f>
        <v>-979360.52573090908</v>
      </c>
      <c r="C136" s="255">
        <f>'Pro Forma'!$E$21-H79</f>
        <v>147011.73096763637</v>
      </c>
      <c r="D136" s="255">
        <f>'Pro Forma'!$F$21-H79</f>
        <v>154533.2613892364</v>
      </c>
      <c r="E136" s="255">
        <f>'Pro Forma'!$G$21-(-PMT(Assumptions!$C$36/12,Assumptions!$C$38*12,G79)*12)</f>
        <v>142985.99720349029</v>
      </c>
      <c r="F136" s="255">
        <f>'Pro Forma'!$H$21-(-PMT(Assumptions!$C$36/12,Assumptions!$C$38*12,G79)*12)</f>
        <v>148869.87830657809</v>
      </c>
      <c r="G136" s="255">
        <f>'Pro Forma'!$I$21-(-PMT(Assumptions!$C$36/12,Assumptions!$C$38*12,G79)*12)+('Pro Forma'!$I$21/0.08)*(1-Assumptions!$C$46)-I79</f>
        <v>1927284.96649393</v>
      </c>
    </row>
    <row r="137" spans="2:7" ht="15.75" customHeight="1" x14ac:dyDescent="0.2">
      <c r="B137" s="255">
        <f>-(F80-G80)</f>
        <v>-918580.48191999993</v>
      </c>
      <c r="C137" s="255">
        <f>'Pro Forma'!$E$21-H80</f>
        <v>155653.89344700001</v>
      </c>
      <c r="D137" s="255">
        <f>'Pro Forma'!$F$21-H80</f>
        <v>163175.42386860005</v>
      </c>
      <c r="E137" s="255">
        <f>'Pro Forma'!$G$21-(-PMT(Assumptions!$C$36/12,Assumptions!$C$38*12,G80)*12)</f>
        <v>153070.49177032677</v>
      </c>
      <c r="F137" s="255">
        <f>'Pro Forma'!$H$21-(-PMT(Assumptions!$C$36/12,Assumptions!$C$38*12,G80)*12)</f>
        <v>158954.37287341457</v>
      </c>
      <c r="G137" s="255">
        <f>'Pro Forma'!$I$21-(-PMT(Assumptions!$C$36/12,Assumptions!$C$38*12,G80)*12)+('Pro Forma'!$I$21/0.05)*(1-Assumptions!$C$46)-I80</f>
        <v>4051994.1182613447</v>
      </c>
    </row>
    <row r="138" spans="2:7" ht="15.75" customHeight="1" x14ac:dyDescent="0.2">
      <c r="B138" s="255">
        <f>-(F80-G80)</f>
        <v>-918580.48191999993</v>
      </c>
      <c r="C138" s="255">
        <f>'Pro Forma'!$E$21-H80</f>
        <v>155653.89344700001</v>
      </c>
      <c r="D138" s="255">
        <f>'Pro Forma'!$F$21-H80</f>
        <v>163175.42386860005</v>
      </c>
      <c r="E138" s="255">
        <f>'Pro Forma'!$G$21-(-PMT(Assumptions!$C$36/12,Assumptions!$C$38*12,G80)*12)</f>
        <v>153070.49177032677</v>
      </c>
      <c r="F138" s="255">
        <f>'Pro Forma'!$H$21-(-PMT(Assumptions!$C$36/12,Assumptions!$C$38*12,G80)*12)</f>
        <v>158954.37287341457</v>
      </c>
      <c r="G138" s="255">
        <f>'Pro Forma'!$I$21-(-PMT(Assumptions!$C$36/12,Assumptions!$C$38*12,G80)*12)+('Pro Forma'!$I$21/0.055)*(1-Assumptions!$C$46)-I80</f>
        <v>3570434.8902351009</v>
      </c>
    </row>
    <row r="139" spans="2:7" ht="15.75" customHeight="1" x14ac:dyDescent="0.2">
      <c r="B139" s="255">
        <f>-(F80-G80)</f>
        <v>-918580.48191999993</v>
      </c>
      <c r="C139" s="255">
        <f>'Pro Forma'!$E$21-H80</f>
        <v>155653.89344700001</v>
      </c>
      <c r="D139" s="255">
        <f>'Pro Forma'!$F$21-H80</f>
        <v>163175.42386860005</v>
      </c>
      <c r="E139" s="255">
        <f>'Pro Forma'!$G$21-(-PMT(Assumptions!$C$36/12,Assumptions!$C$38*12,G80)*12)</f>
        <v>153070.49177032677</v>
      </c>
      <c r="F139" s="255">
        <f>'Pro Forma'!$H$21-(-PMT(Assumptions!$C$36/12,Assumptions!$C$38*12,G80)*12)</f>
        <v>158954.37287341457</v>
      </c>
      <c r="G139" s="255">
        <f>'Pro Forma'!$I$21-(-PMT(Assumptions!$C$36/12,Assumptions!$C$38*12,G80)*12)+('Pro Forma'!$I$21/0.06)*(1-Assumptions!$C$46)-I80</f>
        <v>3169135.5335465632</v>
      </c>
    </row>
    <row r="140" spans="2:7" ht="15.75" customHeight="1" x14ac:dyDescent="0.2">
      <c r="B140" s="255">
        <f>-(F80-G80)</f>
        <v>-918580.48191999993</v>
      </c>
      <c r="C140" s="255">
        <f>'Pro Forma'!$E$21-H80</f>
        <v>155653.89344700001</v>
      </c>
      <c r="D140" s="255">
        <f>'Pro Forma'!$F$21-H80</f>
        <v>163175.42386860005</v>
      </c>
      <c r="E140" s="255">
        <f>'Pro Forma'!$G$21-(-PMT(Assumptions!$C$36/12,Assumptions!$C$38*12,G80)*12)</f>
        <v>153070.49177032677</v>
      </c>
      <c r="F140" s="255">
        <f>'Pro Forma'!$H$21-(-PMT(Assumptions!$C$36/12,Assumptions!$C$38*12,G80)*12)</f>
        <v>158954.37287341457</v>
      </c>
      <c r="G140" s="255">
        <f>'Pro Forma'!$I$21-(-PMT(Assumptions!$C$36/12,Assumptions!$C$38*12,G80)*12)+('Pro Forma'!$I$21/0.065)*(1-Assumptions!$C$46)-I80</f>
        <v>2829574.5394254923</v>
      </c>
    </row>
    <row r="141" spans="2:7" ht="15.75" customHeight="1" x14ac:dyDescent="0.2">
      <c r="B141" s="255">
        <f>-(F80-G80)</f>
        <v>-918580.48191999993</v>
      </c>
      <c r="C141" s="255">
        <f>'Pro Forma'!$E$21-H80</f>
        <v>155653.89344700001</v>
      </c>
      <c r="D141" s="255">
        <f>'Pro Forma'!$F$21-H80</f>
        <v>163175.42386860005</v>
      </c>
      <c r="E141" s="255">
        <f>'Pro Forma'!$G$21-(-PMT(Assumptions!$C$36/12,Assumptions!$C$38*12,G80)*12)</f>
        <v>153070.49177032677</v>
      </c>
      <c r="F141" s="255">
        <f>'Pro Forma'!$H$21-(-PMT(Assumptions!$C$36/12,Assumptions!$C$38*12,G80)*12)</f>
        <v>158954.37287341457</v>
      </c>
      <c r="G141" s="255">
        <f>'Pro Forma'!$I$21-(-PMT(Assumptions!$C$36/12,Assumptions!$C$38*12,G80)*12)+('Pro Forma'!$I$21/0.07)*(1-Assumptions!$C$46)-I80</f>
        <v>2538522.2587502897</v>
      </c>
    </row>
    <row r="142" spans="2:7" ht="15.75" customHeight="1" x14ac:dyDescent="0.2">
      <c r="B142" s="255">
        <f>-(F80-G80)</f>
        <v>-918580.48191999993</v>
      </c>
      <c r="C142" s="255">
        <f>'Pro Forma'!$E$21-H80</f>
        <v>155653.89344700001</v>
      </c>
      <c r="D142" s="255">
        <f>'Pro Forma'!$F$21-H80</f>
        <v>163175.42386860005</v>
      </c>
      <c r="E142" s="255">
        <f>'Pro Forma'!$G$21-(-PMT(Assumptions!$C$36/12,Assumptions!$C$38*12,G80)*12)</f>
        <v>153070.49177032677</v>
      </c>
      <c r="F142" s="255">
        <f>'Pro Forma'!$H$21-(-PMT(Assumptions!$C$36/12,Assumptions!$C$38*12,G80)*12)</f>
        <v>158954.37287341457</v>
      </c>
      <c r="G142" s="255">
        <f>'Pro Forma'!$I$21-(-PMT(Assumptions!$C$36/12,Assumptions!$C$38*12,G80)*12)+('Pro Forma'!$I$21/0.075)*(1-Assumptions!$C$46)-I80</f>
        <v>2286276.9488317817</v>
      </c>
    </row>
    <row r="143" spans="2:7" ht="15.75" customHeight="1" x14ac:dyDescent="0.2">
      <c r="B143" s="255">
        <f>-(F80-G80)</f>
        <v>-918580.48191999993</v>
      </c>
      <c r="C143" s="255">
        <f>'Pro Forma'!$E$21-H80</f>
        <v>155653.89344700001</v>
      </c>
      <c r="D143" s="255">
        <f>'Pro Forma'!$F$21-H80</f>
        <v>163175.42386860005</v>
      </c>
      <c r="E143" s="255">
        <f>'Pro Forma'!$G$21-(-PMT(Assumptions!$C$36/12,Assumptions!$C$38*12,G80)*12)</f>
        <v>153070.49177032677</v>
      </c>
      <c r="F143" s="255">
        <f>'Pro Forma'!$H$21-(-PMT(Assumptions!$C$36/12,Assumptions!$C$38*12,G80)*12)</f>
        <v>158954.37287341457</v>
      </c>
      <c r="G143" s="255">
        <f>'Pro Forma'!$I$21-(-PMT(Assumptions!$C$36/12,Assumptions!$C$38*12,G80)*12)+('Pro Forma'!$I$21/0.08)*(1-Assumptions!$C$46)-I80</f>
        <v>2065562.3026530859</v>
      </c>
    </row>
    <row r="144" spans="2:7" ht="15.75" customHeight="1" x14ac:dyDescent="0.2">
      <c r="B144" s="255">
        <f>-(F81-G81)</f>
        <v>-867151.2140800003</v>
      </c>
      <c r="C144" s="255">
        <f>'Pro Forma'!$E$21-H81</f>
        <v>162966.49246800001</v>
      </c>
      <c r="D144" s="255">
        <f>'Pro Forma'!$F$21-H81</f>
        <v>170488.02288960005</v>
      </c>
      <c r="E144" s="255">
        <f>'Pro Forma'!$G$21-(-PMT(Assumptions!$C$36/12,Assumptions!$C$38*12,G81)*12)</f>
        <v>161603.52563457302</v>
      </c>
      <c r="F144" s="255">
        <f>'Pro Forma'!$H$21-(-PMT(Assumptions!$C$36/12,Assumptions!$C$38*12,G81)*12)</f>
        <v>167487.40673766081</v>
      </c>
      <c r="G144" s="255">
        <f>'Pro Forma'!$I$21-(-PMT(Assumptions!$C$36/12,Assumptions!$C$38*12,G81)*12)+('Pro Forma'!$I$21/0.05)*(1-Assumptions!$C$46)-I81</f>
        <v>4168998.0180883221</v>
      </c>
    </row>
    <row r="145" spans="2:7" ht="15.75" customHeight="1" x14ac:dyDescent="0.2">
      <c r="B145" s="255">
        <f>-(F81-G81)</f>
        <v>-867151.2140800003</v>
      </c>
      <c r="C145" s="255">
        <f>'Pro Forma'!$E$21-H81</f>
        <v>162966.49246800001</v>
      </c>
      <c r="D145" s="255">
        <f>'Pro Forma'!$F$21-H81</f>
        <v>170488.02288960005</v>
      </c>
      <c r="E145" s="255">
        <f>'Pro Forma'!$G$21-(-PMT(Assumptions!$C$36/12,Assumptions!$C$38*12,G81)*12)</f>
        <v>161603.52563457302</v>
      </c>
      <c r="F145" s="255">
        <f>'Pro Forma'!$H$21-(-PMT(Assumptions!$C$36/12,Assumptions!$C$38*12,G81)*12)</f>
        <v>167487.40673766081</v>
      </c>
      <c r="G145" s="255">
        <f>'Pro Forma'!$I$21-(-PMT(Assumptions!$C$36/12,Assumptions!$C$38*12,G81)*12)+('Pro Forma'!$I$21/0.055)*(1-Assumptions!$C$46)-I81</f>
        <v>3687438.7900620783</v>
      </c>
    </row>
    <row r="146" spans="2:7" ht="15.75" customHeight="1" x14ac:dyDescent="0.2">
      <c r="B146" s="255">
        <f>-(F81-G81)</f>
        <v>-867151.2140800003</v>
      </c>
      <c r="C146" s="255">
        <f>'Pro Forma'!$E$21-H81</f>
        <v>162966.49246800001</v>
      </c>
      <c r="D146" s="255">
        <f>'Pro Forma'!$F$21-H81</f>
        <v>170488.02288960005</v>
      </c>
      <c r="E146" s="255">
        <f>'Pro Forma'!$G$21-(-PMT(Assumptions!$C$36/12,Assumptions!$C$38*12,G81)*12)</f>
        <v>161603.52563457302</v>
      </c>
      <c r="F146" s="255">
        <f>'Pro Forma'!$H$21-(-PMT(Assumptions!$C$36/12,Assumptions!$C$38*12,G81)*12)</f>
        <v>167487.40673766081</v>
      </c>
      <c r="G146" s="255">
        <f>'Pro Forma'!$I$21-(-PMT(Assumptions!$C$36/12,Assumptions!$C$38*12,G81)*12)+('Pro Forma'!$I$21/0.06)*(1-Assumptions!$C$46)-I81</f>
        <v>3286139.4333735406</v>
      </c>
    </row>
    <row r="147" spans="2:7" ht="15.75" customHeight="1" x14ac:dyDescent="0.2">
      <c r="B147" s="255">
        <f>-(F81-G81)</f>
        <v>-867151.2140800003</v>
      </c>
      <c r="C147" s="255">
        <f>'Pro Forma'!$E$21-H81</f>
        <v>162966.49246800001</v>
      </c>
      <c r="D147" s="255">
        <f>'Pro Forma'!$F$21-H81</f>
        <v>170488.02288960005</v>
      </c>
      <c r="E147" s="255">
        <f>'Pro Forma'!$G$21-(-PMT(Assumptions!$C$36/12,Assumptions!$C$38*12,G81)*12)</f>
        <v>161603.52563457302</v>
      </c>
      <c r="F147" s="255">
        <f>'Pro Forma'!$H$21-(-PMT(Assumptions!$C$36/12,Assumptions!$C$38*12,G81)*12)</f>
        <v>167487.40673766081</v>
      </c>
      <c r="G147" s="255">
        <f>'Pro Forma'!$I$21-(-PMT(Assumptions!$C$36/12,Assumptions!$C$38*12,G81)*12)+('Pro Forma'!$I$21/0.065)*(1-Assumptions!$C$46)-I81</f>
        <v>2946578.4392524706</v>
      </c>
    </row>
    <row r="148" spans="2:7" ht="15.75" customHeight="1" x14ac:dyDescent="0.2">
      <c r="B148" s="255">
        <f>-(F81-G81)</f>
        <v>-867151.2140800003</v>
      </c>
      <c r="C148" s="255">
        <f>'Pro Forma'!$E$21-H81</f>
        <v>162966.49246800001</v>
      </c>
      <c r="D148" s="255">
        <f>'Pro Forma'!$F$21-H81</f>
        <v>170488.02288960005</v>
      </c>
      <c r="E148" s="255">
        <f>'Pro Forma'!$G$21-(-PMT(Assumptions!$C$36/12,Assumptions!$C$38*12,G81)*12)</f>
        <v>161603.52563457302</v>
      </c>
      <c r="F148" s="255">
        <f>'Pro Forma'!$H$21-(-PMT(Assumptions!$C$36/12,Assumptions!$C$38*12,G81)*12)</f>
        <v>167487.40673766081</v>
      </c>
      <c r="G148" s="255">
        <f>'Pro Forma'!$I$21-(-PMT(Assumptions!$C$36/12,Assumptions!$C$38*12,G81)*12)+('Pro Forma'!$I$21/0.07)*(1-Assumptions!$C$46)-I81</f>
        <v>2655526.158577268</v>
      </c>
    </row>
    <row r="149" spans="2:7" ht="15.75" customHeight="1" x14ac:dyDescent="0.2">
      <c r="B149" s="255">
        <f>-(F81-G81)</f>
        <v>-867151.2140800003</v>
      </c>
      <c r="C149" s="255">
        <f>'Pro Forma'!$E$21-H81</f>
        <v>162966.49246800001</v>
      </c>
      <c r="D149" s="255">
        <f>'Pro Forma'!$F$21-H81</f>
        <v>170488.02288960005</v>
      </c>
      <c r="E149" s="255">
        <f>'Pro Forma'!$G$21-(-PMT(Assumptions!$C$36/12,Assumptions!$C$38*12,G81)*12)</f>
        <v>161603.52563457302</v>
      </c>
      <c r="F149" s="255">
        <f>'Pro Forma'!$H$21-(-PMT(Assumptions!$C$36/12,Assumptions!$C$38*12,G81)*12)</f>
        <v>167487.40673766081</v>
      </c>
      <c r="G149" s="255">
        <f>'Pro Forma'!$I$21-(-PMT(Assumptions!$C$36/12,Assumptions!$C$38*12,G81)*12)+('Pro Forma'!$I$21/0.075)*(1-Assumptions!$C$46)-I81</f>
        <v>2403280.8486587601</v>
      </c>
    </row>
    <row r="150" spans="2:7" ht="15.75" customHeight="1" x14ac:dyDescent="0.2">
      <c r="B150" s="255">
        <f>-(F81-G81)</f>
        <v>-867151.2140800003</v>
      </c>
      <c r="C150" s="255">
        <f>'Pro Forma'!$E$21-H81</f>
        <v>162966.49246800001</v>
      </c>
      <c r="D150" s="255">
        <f>'Pro Forma'!$F$21-H81</f>
        <v>170488.02288960005</v>
      </c>
      <c r="E150" s="255">
        <f>'Pro Forma'!$G$21-(-PMT(Assumptions!$C$36/12,Assumptions!$C$38*12,G81)*12)</f>
        <v>161603.52563457302</v>
      </c>
      <c r="F150" s="255">
        <f>'Pro Forma'!$H$21-(-PMT(Assumptions!$C$36/12,Assumptions!$C$38*12,G81)*12)</f>
        <v>167487.40673766081</v>
      </c>
      <c r="G150" s="255">
        <f>'Pro Forma'!$I$21-(-PMT(Assumptions!$C$36/12,Assumptions!$C$38*12,G81)*12)+('Pro Forma'!$I$21/0.08)*(1-Assumptions!$C$46)-I81</f>
        <v>2182566.2024800638</v>
      </c>
    </row>
    <row r="151" spans="2:7" ht="15.75" customHeight="1" x14ac:dyDescent="0.2">
      <c r="B151" s="255">
        <f>-(F82-G82)</f>
        <v>-823068.98450285709</v>
      </c>
      <c r="C151" s="255">
        <f>'Pro Forma'!$E$21-H82</f>
        <v>169234.43448600001</v>
      </c>
      <c r="D151" s="255">
        <f>'Pro Forma'!$F$21-H82</f>
        <v>176755.96490760005</v>
      </c>
      <c r="E151" s="255">
        <f>'Pro Forma'!$G$21-(-PMT(Assumptions!$C$36/12,Assumptions!$C$38*12,G82)*12)</f>
        <v>168917.55466106982</v>
      </c>
      <c r="F151" s="255">
        <f>'Pro Forma'!$H$21-(-PMT(Assumptions!$C$36/12,Assumptions!$C$38*12,G82)*12)</f>
        <v>174801.43576415762</v>
      </c>
      <c r="G151" s="255">
        <f>'Pro Forma'!$I$21-(-PMT(Assumptions!$C$36/12,Assumptions!$C$38*12,G82)*12)+('Pro Forma'!$I$21/0.05)*(1-Assumptions!$C$46)-I82</f>
        <v>4269287.0750828758</v>
      </c>
    </row>
    <row r="152" spans="2:7" ht="15.75" customHeight="1" x14ac:dyDescent="0.2">
      <c r="B152" s="255">
        <f>-(F82-G82)</f>
        <v>-823068.98450285709</v>
      </c>
      <c r="C152" s="255">
        <f>'Pro Forma'!$E$21-H82</f>
        <v>169234.43448600001</v>
      </c>
      <c r="D152" s="255">
        <f>'Pro Forma'!$F$21-H82</f>
        <v>176755.96490760005</v>
      </c>
      <c r="E152" s="255">
        <f>'Pro Forma'!$G$21-(-PMT(Assumptions!$C$36/12,Assumptions!$C$38*12,G82)*12)</f>
        <v>168917.55466106982</v>
      </c>
      <c r="F152" s="255">
        <f>'Pro Forma'!$H$21-(-PMT(Assumptions!$C$36/12,Assumptions!$C$38*12,G82)*12)</f>
        <v>174801.43576415762</v>
      </c>
      <c r="G152" s="255">
        <f>'Pro Forma'!$I$21-(-PMT(Assumptions!$C$36/12,Assumptions!$C$38*12,G82)*12)+('Pro Forma'!$I$21/0.055)*(1-Assumptions!$C$46)-I82</f>
        <v>3787727.8470566319</v>
      </c>
    </row>
    <row r="153" spans="2:7" ht="15.75" customHeight="1" x14ac:dyDescent="0.2">
      <c r="B153" s="255">
        <f>-(F82-G82)</f>
        <v>-823068.98450285709</v>
      </c>
      <c r="C153" s="255">
        <f>'Pro Forma'!$E$21-H82</f>
        <v>169234.43448600001</v>
      </c>
      <c r="D153" s="255">
        <f>'Pro Forma'!$F$21-H82</f>
        <v>176755.96490760005</v>
      </c>
      <c r="E153" s="255">
        <f>'Pro Forma'!$G$21-(-PMT(Assumptions!$C$36/12,Assumptions!$C$38*12,G82)*12)</f>
        <v>168917.55466106982</v>
      </c>
      <c r="F153" s="255">
        <f>'Pro Forma'!$H$21-(-PMT(Assumptions!$C$36/12,Assumptions!$C$38*12,G82)*12)</f>
        <v>174801.43576415762</v>
      </c>
      <c r="G153" s="255">
        <f>'Pro Forma'!$I$21-(-PMT(Assumptions!$C$36/12,Assumptions!$C$38*12,G82)*12)+('Pro Forma'!$I$21/0.06)*(1-Assumptions!$C$46)-I82</f>
        <v>3386428.4903680943</v>
      </c>
    </row>
    <row r="154" spans="2:7" ht="15.75" customHeight="1" x14ac:dyDescent="0.2">
      <c r="B154" s="255">
        <f>-(F82-G82)</f>
        <v>-823068.98450285709</v>
      </c>
      <c r="C154" s="255">
        <f>'Pro Forma'!$E$21-H82</f>
        <v>169234.43448600001</v>
      </c>
      <c r="D154" s="255">
        <f>'Pro Forma'!$F$21-H82</f>
        <v>176755.96490760005</v>
      </c>
      <c r="E154" s="255">
        <f>'Pro Forma'!$G$21-(-PMT(Assumptions!$C$36/12,Assumptions!$C$38*12,G82)*12)</f>
        <v>168917.55466106982</v>
      </c>
      <c r="F154" s="255">
        <f>'Pro Forma'!$H$21-(-PMT(Assumptions!$C$36/12,Assumptions!$C$38*12,G82)*12)</f>
        <v>174801.43576415762</v>
      </c>
      <c r="G154" s="255">
        <f>'Pro Forma'!$I$21-(-PMT(Assumptions!$C$36/12,Assumptions!$C$38*12,G82)*12)+('Pro Forma'!$I$21/0.065)*(1-Assumptions!$C$46)-I82</f>
        <v>3046867.4962470243</v>
      </c>
    </row>
    <row r="155" spans="2:7" ht="15.75" customHeight="1" x14ac:dyDescent="0.2">
      <c r="B155" s="255">
        <f>-(F82-G82)</f>
        <v>-823068.98450285709</v>
      </c>
      <c r="C155" s="255">
        <f>'Pro Forma'!$E$21-H82</f>
        <v>169234.43448600001</v>
      </c>
      <c r="D155" s="255">
        <f>'Pro Forma'!$F$21-H82</f>
        <v>176755.96490760005</v>
      </c>
      <c r="E155" s="255">
        <f>'Pro Forma'!$G$21-(-PMT(Assumptions!$C$36/12,Assumptions!$C$38*12,G82)*12)</f>
        <v>168917.55466106982</v>
      </c>
      <c r="F155" s="255">
        <f>'Pro Forma'!$H$21-(-PMT(Assumptions!$C$36/12,Assumptions!$C$38*12,G82)*12)</f>
        <v>174801.43576415762</v>
      </c>
      <c r="G155" s="255">
        <f>'Pro Forma'!$I$21-(-PMT(Assumptions!$C$36/12,Assumptions!$C$38*12,G82)*12)+('Pro Forma'!$I$21/0.07)*(1-Assumptions!$C$46)-I82</f>
        <v>2755815.2155718207</v>
      </c>
    </row>
    <row r="156" spans="2:7" ht="15.75" customHeight="1" x14ac:dyDescent="0.2">
      <c r="B156" s="255">
        <f>-(F82-G82)</f>
        <v>-823068.98450285709</v>
      </c>
      <c r="C156" s="255">
        <f>'Pro Forma'!$E$21-H82</f>
        <v>169234.43448600001</v>
      </c>
      <c r="D156" s="255">
        <f>'Pro Forma'!$F$21-H82</f>
        <v>176755.96490760005</v>
      </c>
      <c r="E156" s="255">
        <f>'Pro Forma'!$G$21-(-PMT(Assumptions!$C$36/12,Assumptions!$C$38*12,G82)*12)</f>
        <v>168917.55466106982</v>
      </c>
      <c r="F156" s="255">
        <f>'Pro Forma'!$H$21-(-PMT(Assumptions!$C$36/12,Assumptions!$C$38*12,G82)*12)</f>
        <v>174801.43576415762</v>
      </c>
      <c r="G156" s="255">
        <f>'Pro Forma'!$I$21-(-PMT(Assumptions!$C$36/12,Assumptions!$C$38*12,G82)*12)+('Pro Forma'!$I$21/0.075)*(1-Assumptions!$C$46)-I82</f>
        <v>2503569.9056533128</v>
      </c>
    </row>
    <row r="157" spans="2:7" ht="15.75" customHeight="1" x14ac:dyDescent="0.2">
      <c r="B157" s="255">
        <f>-(F82-G82)</f>
        <v>-823068.98450285709</v>
      </c>
      <c r="C157" s="255">
        <f>'Pro Forma'!$E$21-H82</f>
        <v>169234.43448600001</v>
      </c>
      <c r="D157" s="255">
        <f>'Pro Forma'!$F$21-H82</f>
        <v>176755.96490760005</v>
      </c>
      <c r="E157" s="255">
        <f>'Pro Forma'!$G$21-(-PMT(Assumptions!$C$36/12,Assumptions!$C$38*12,G82)*12)</f>
        <v>168917.55466106982</v>
      </c>
      <c r="F157" s="255">
        <f>'Pro Forma'!$H$21-(-PMT(Assumptions!$C$36/12,Assumptions!$C$38*12,G82)*12)</f>
        <v>174801.43576415762</v>
      </c>
      <c r="G157" s="255">
        <f>'Pro Forma'!$I$21-(-PMT(Assumptions!$C$36/12,Assumptions!$C$38*12,G82)*12)+('Pro Forma'!$I$21/0.08)*(1-Assumptions!$C$46)-I82</f>
        <v>2282855.2594746165</v>
      </c>
    </row>
    <row r="158" spans="2:7" ht="15.75" customHeight="1" x14ac:dyDescent="0.2">
      <c r="B158" s="255">
        <f>-(F83-G83)</f>
        <v>-784864.38553600013</v>
      </c>
      <c r="C158" s="255">
        <f>'Pro Forma'!$E$21-H83</f>
        <v>174666.65090159999</v>
      </c>
      <c r="D158" s="255">
        <f>'Pro Forma'!$F$21-H83</f>
        <v>182188.18132320003</v>
      </c>
      <c r="E158" s="255">
        <f>'Pro Forma'!$G$21-(-PMT(Assumptions!$C$36/12,Assumptions!$C$38*12,G83)*12)</f>
        <v>175256.37981736701</v>
      </c>
      <c r="F158" s="255">
        <f>'Pro Forma'!$H$21-(-PMT(Assumptions!$C$36/12,Assumptions!$C$38*12,G83)*12)</f>
        <v>181140.26092045481</v>
      </c>
      <c r="G158" s="255">
        <f>'Pro Forma'!$I$21-(-PMT(Assumptions!$C$36/12,Assumptions!$C$38*12,G83)*12)+('Pro Forma'!$I$21/0.05)*(1-Assumptions!$C$46)-I83</f>
        <v>4356204.2578114877</v>
      </c>
    </row>
    <row r="159" spans="2:7" ht="15.75" customHeight="1" x14ac:dyDescent="0.2">
      <c r="B159" s="255">
        <f>-(F83-G83)</f>
        <v>-784864.38553600013</v>
      </c>
      <c r="C159" s="255">
        <f>'Pro Forma'!$E$21-H83</f>
        <v>174666.65090159999</v>
      </c>
      <c r="D159" s="255">
        <f>'Pro Forma'!$F$21-H83</f>
        <v>182188.18132320003</v>
      </c>
      <c r="E159" s="255">
        <f>'Pro Forma'!$G$21-(-PMT(Assumptions!$C$36/12,Assumptions!$C$38*12,G83)*12)</f>
        <v>175256.37981736701</v>
      </c>
      <c r="F159" s="255">
        <f>'Pro Forma'!$H$21-(-PMT(Assumptions!$C$36/12,Assumptions!$C$38*12,G83)*12)</f>
        <v>181140.26092045481</v>
      </c>
      <c r="G159" s="255">
        <f>'Pro Forma'!$I$21-(-PMT(Assumptions!$C$36/12,Assumptions!$C$38*12,G83)*12)+('Pro Forma'!$I$21/0.055)*(1-Assumptions!$C$46)-I83</f>
        <v>3874645.0297852438</v>
      </c>
    </row>
    <row r="160" spans="2:7" ht="15.75" customHeight="1" x14ac:dyDescent="0.2">
      <c r="B160" s="255">
        <f>-(F83-G83)</f>
        <v>-784864.38553600013</v>
      </c>
      <c r="C160" s="255">
        <f>'Pro Forma'!$E$21-H83</f>
        <v>174666.65090159999</v>
      </c>
      <c r="D160" s="255">
        <f>'Pro Forma'!$F$21-H83</f>
        <v>182188.18132320003</v>
      </c>
      <c r="E160" s="255">
        <f>'Pro Forma'!$G$21-(-PMT(Assumptions!$C$36/12,Assumptions!$C$38*12,G83)*12)</f>
        <v>175256.37981736701</v>
      </c>
      <c r="F160" s="255">
        <f>'Pro Forma'!$H$21-(-PMT(Assumptions!$C$36/12,Assumptions!$C$38*12,G83)*12)</f>
        <v>181140.26092045481</v>
      </c>
      <c r="G160" s="255">
        <f>'Pro Forma'!$I$21-(-PMT(Assumptions!$C$36/12,Assumptions!$C$38*12,G83)*12)+('Pro Forma'!$I$21/0.06)*(1-Assumptions!$C$46)-I83</f>
        <v>3473345.6730967062</v>
      </c>
    </row>
    <row r="161" spans="2:7" ht="15.75" customHeight="1" x14ac:dyDescent="0.2">
      <c r="B161" s="255">
        <f>-(F83-G83)</f>
        <v>-784864.38553600013</v>
      </c>
      <c r="C161" s="255">
        <f>'Pro Forma'!$E$21-H83</f>
        <v>174666.65090159999</v>
      </c>
      <c r="D161" s="255">
        <f>'Pro Forma'!$F$21-H83</f>
        <v>182188.18132320003</v>
      </c>
      <c r="E161" s="255">
        <f>'Pro Forma'!$G$21-(-PMT(Assumptions!$C$36/12,Assumptions!$C$38*12,G83)*12)</f>
        <v>175256.37981736701</v>
      </c>
      <c r="F161" s="255">
        <f>'Pro Forma'!$H$21-(-PMT(Assumptions!$C$36/12,Assumptions!$C$38*12,G83)*12)</f>
        <v>181140.26092045481</v>
      </c>
      <c r="G161" s="255">
        <f>'Pro Forma'!$I$21-(-PMT(Assumptions!$C$36/12,Assumptions!$C$38*12,G83)*12)+('Pro Forma'!$I$21/0.065)*(1-Assumptions!$C$46)-I83</f>
        <v>3133784.6789756352</v>
      </c>
    </row>
    <row r="162" spans="2:7" ht="15.75" customHeight="1" x14ac:dyDescent="0.2">
      <c r="B162" s="255">
        <f>-(F83-G83)</f>
        <v>-784864.38553600013</v>
      </c>
      <c r="C162" s="255">
        <f>'Pro Forma'!$E$21-H83</f>
        <v>174666.65090159999</v>
      </c>
      <c r="D162" s="255">
        <f>'Pro Forma'!$F$21-H83</f>
        <v>182188.18132320003</v>
      </c>
      <c r="E162" s="255">
        <f>'Pro Forma'!$G$21-(-PMT(Assumptions!$C$36/12,Assumptions!$C$38*12,G83)*12)</f>
        <v>175256.37981736701</v>
      </c>
      <c r="F162" s="255">
        <f>'Pro Forma'!$H$21-(-PMT(Assumptions!$C$36/12,Assumptions!$C$38*12,G83)*12)</f>
        <v>181140.26092045481</v>
      </c>
      <c r="G162" s="255">
        <f>'Pro Forma'!$I$21-(-PMT(Assumptions!$C$36/12,Assumptions!$C$38*12,G83)*12)+('Pro Forma'!$I$21/0.07)*(1-Assumptions!$C$46)-I83</f>
        <v>2842732.3983004326</v>
      </c>
    </row>
    <row r="163" spans="2:7" ht="15.75" customHeight="1" x14ac:dyDescent="0.2">
      <c r="B163" s="255">
        <f>-(F83-G83)</f>
        <v>-784864.38553600013</v>
      </c>
      <c r="C163" s="255">
        <f>'Pro Forma'!$E$21-H83</f>
        <v>174666.65090159999</v>
      </c>
      <c r="D163" s="255">
        <f>'Pro Forma'!$F$21-H83</f>
        <v>182188.18132320003</v>
      </c>
      <c r="E163" s="255">
        <f>'Pro Forma'!$G$21-(-PMT(Assumptions!$C$36/12,Assumptions!$C$38*12,G83)*12)</f>
        <v>175256.37981736701</v>
      </c>
      <c r="F163" s="255">
        <f>'Pro Forma'!$H$21-(-PMT(Assumptions!$C$36/12,Assumptions!$C$38*12,G83)*12)</f>
        <v>181140.26092045481</v>
      </c>
      <c r="G163" s="255">
        <f>'Pro Forma'!$I$21-(-PMT(Assumptions!$C$36/12,Assumptions!$C$38*12,G83)*12)+('Pro Forma'!$I$21/0.075)*(1-Assumptions!$C$46)-I83</f>
        <v>2590487.0883819247</v>
      </c>
    </row>
    <row r="164" spans="2:7" ht="15.75" customHeight="1" x14ac:dyDescent="0.2">
      <c r="B164" s="255">
        <f>-(F83-G83)</f>
        <v>-784864.38553600013</v>
      </c>
      <c r="C164" s="255">
        <f>'Pro Forma'!$E$21-H83</f>
        <v>174666.65090159999</v>
      </c>
      <c r="D164" s="255">
        <f>'Pro Forma'!$F$21-H83</f>
        <v>182188.18132320003</v>
      </c>
      <c r="E164" s="255">
        <f>'Pro Forma'!$G$21-(-PMT(Assumptions!$C$36/12,Assumptions!$C$38*12,G83)*12)</f>
        <v>175256.37981736701</v>
      </c>
      <c r="F164" s="255">
        <f>'Pro Forma'!$H$21-(-PMT(Assumptions!$C$36/12,Assumptions!$C$38*12,G83)*12)</f>
        <v>181140.26092045481</v>
      </c>
      <c r="G164" s="255">
        <f>'Pro Forma'!$I$21-(-PMT(Assumptions!$C$36/12,Assumptions!$C$38*12,G83)*12)+('Pro Forma'!$I$21/0.08)*(1-Assumptions!$C$46)-I83</f>
        <v>2369772.4422032284</v>
      </c>
    </row>
    <row r="165" spans="2:7" ht="16" x14ac:dyDescent="0.2"/>
    <row r="166" spans="2:7" ht="1" customHeight="1" x14ac:dyDescent="0.2"/>
  </sheetData>
  <conditionalFormatting sqref="D40:J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:J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154"/>
  <sheetViews>
    <sheetView zoomScaleNormal="100" workbookViewId="0">
      <pane xSplit="1" ySplit="4" topLeftCell="B5" activePane="bottomRight" state="frozen"/>
      <selection pane="topRight"/>
      <selection pane="bottomLeft" activeCell="A4" sqref="A4"/>
      <selection pane="bottomRight" activeCell="Y1" sqref="Y1"/>
    </sheetView>
    <sheetView workbookViewId="1"/>
  </sheetViews>
  <sheetFormatPr baseColWidth="10" defaultColWidth="10.6640625" defaultRowHeight="15.75" customHeight="1" x14ac:dyDescent="0.2"/>
  <cols>
    <col min="1" max="1" width="3.1640625" style="201" customWidth="1"/>
    <col min="2" max="2" width="5" style="201" customWidth="1"/>
    <col min="3" max="3" width="16" style="201" hidden="1" customWidth="1"/>
    <col min="4" max="4" width="14" style="201" hidden="1" customWidth="1"/>
    <col min="5" max="5" width="6" style="201" hidden="1" customWidth="1"/>
    <col min="6" max="7" width="9" style="201" customWidth="1"/>
    <col min="8" max="8" width="13" style="201" customWidth="1"/>
    <col min="9" max="9" width="12" style="201" customWidth="1"/>
    <col min="10" max="10" width="7" style="201" customWidth="1"/>
    <col min="11" max="11" width="8" style="201" customWidth="1"/>
    <col min="12" max="12" width="9" style="201" customWidth="1"/>
    <col min="13" max="14" width="10" style="201" customWidth="1"/>
    <col min="15" max="15" width="34" style="201" customWidth="1"/>
    <col min="16" max="16" width="14" style="201" customWidth="1"/>
    <col min="17" max="17" width="10" style="201" customWidth="1"/>
    <col min="18" max="18" width="7" style="201" customWidth="1"/>
    <col min="19" max="20" width="11" style="201" customWidth="1"/>
    <col min="21" max="21" width="12" style="201" customWidth="1"/>
    <col min="22" max="22" width="33" style="201" bestFit="1" customWidth="1"/>
    <col min="23" max="23" width="10.6640625" style="225"/>
    <col min="24" max="16384" width="10.6640625" style="201"/>
  </cols>
  <sheetData>
    <row r="2" spans="1:23" ht="21.75" customHeight="1" x14ac:dyDescent="0.2">
      <c r="A2" s="227"/>
      <c r="B2" s="2" t="s">
        <v>175</v>
      </c>
      <c r="C2" s="1"/>
      <c r="D2" s="1"/>
      <c r="E2" s="1"/>
      <c r="F2" s="3"/>
      <c r="G2" s="3"/>
      <c r="H2" s="3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6"/>
      <c r="U2" s="6"/>
      <c r="V2" s="6"/>
      <c r="W2" s="224"/>
    </row>
    <row r="3" spans="1:23" ht="13.5" customHeight="1" x14ac:dyDescent="0.2">
      <c r="A3" s="228"/>
      <c r="B3" s="8" t="s">
        <v>176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/>
      <c r="U3"/>
      <c r="V3"/>
    </row>
    <row r="4" spans="1:23" ht="18" customHeight="1" x14ac:dyDescent="0.2">
      <c r="A4" s="228"/>
      <c r="B4" s="157" t="s">
        <v>177</v>
      </c>
      <c r="C4" s="157" t="s">
        <v>167</v>
      </c>
      <c r="D4" s="157" t="s">
        <v>178</v>
      </c>
      <c r="E4" s="157" t="s">
        <v>179</v>
      </c>
      <c r="F4" s="157" t="s">
        <v>180</v>
      </c>
      <c r="G4" s="157" t="s">
        <v>181</v>
      </c>
      <c r="H4" s="157" t="s">
        <v>17</v>
      </c>
      <c r="I4" s="157" t="s">
        <v>182</v>
      </c>
      <c r="J4" s="157" t="s">
        <v>183</v>
      </c>
      <c r="K4" s="157" t="s">
        <v>184</v>
      </c>
      <c r="L4" s="157" t="s">
        <v>185</v>
      </c>
      <c r="M4" s="157" t="s">
        <v>186</v>
      </c>
      <c r="N4" s="157" t="s">
        <v>187</v>
      </c>
      <c r="O4" s="157" t="s">
        <v>188</v>
      </c>
      <c r="P4" s="157" t="s">
        <v>189</v>
      </c>
      <c r="Q4" s="157" t="s">
        <v>190</v>
      </c>
      <c r="R4" s="157" t="s">
        <v>191</v>
      </c>
      <c r="S4" s="157" t="s">
        <v>192</v>
      </c>
      <c r="T4" s="157" t="s">
        <v>193</v>
      </c>
      <c r="U4" s="157" t="s">
        <v>194</v>
      </c>
      <c r="V4" s="157" t="s">
        <v>195</v>
      </c>
    </row>
    <row r="5" spans="1:23" ht="15" customHeight="1" x14ac:dyDescent="0.2">
      <c r="A5" s="228"/>
      <c r="B5" s="158">
        <v>1</v>
      </c>
      <c r="C5" s="159" t="s">
        <v>196</v>
      </c>
      <c r="D5" s="159" t="s">
        <v>197</v>
      </c>
      <c r="E5" s="160">
        <v>1</v>
      </c>
      <c r="F5" s="161">
        <v>111.4</v>
      </c>
      <c r="G5" s="162">
        <v>0.111</v>
      </c>
      <c r="H5" s="163" t="s">
        <v>198</v>
      </c>
      <c r="I5" s="159">
        <v>1050</v>
      </c>
      <c r="J5" s="160">
        <v>0</v>
      </c>
      <c r="K5" s="164">
        <v>1</v>
      </c>
      <c r="L5" s="161">
        <v>550</v>
      </c>
      <c r="M5" s="160">
        <v>0</v>
      </c>
      <c r="N5" s="164">
        <v>1</v>
      </c>
      <c r="O5" s="163" t="s">
        <v>199</v>
      </c>
      <c r="P5" s="163" t="s">
        <v>200</v>
      </c>
      <c r="Q5" s="165" t="s">
        <v>201</v>
      </c>
      <c r="R5" s="165">
        <v>1</v>
      </c>
      <c r="S5" s="162">
        <v>30.308551999999999</v>
      </c>
      <c r="T5" s="162">
        <v>-97.753287999999998</v>
      </c>
      <c r="U5" s="163"/>
      <c r="V5" s="163" t="s">
        <v>202</v>
      </c>
      <c r="W5" s="226"/>
    </row>
    <row r="6" spans="1:23" ht="15" customHeight="1" x14ac:dyDescent="0.2">
      <c r="A6" s="228"/>
      <c r="B6" s="166">
        <v>2</v>
      </c>
      <c r="C6" s="167" t="s">
        <v>196</v>
      </c>
      <c r="D6" s="167" t="s">
        <v>197</v>
      </c>
      <c r="E6" s="168">
        <v>2</v>
      </c>
      <c r="F6" s="169">
        <v>1760.1</v>
      </c>
      <c r="G6" s="170">
        <v>1.76</v>
      </c>
      <c r="H6" s="171" t="s">
        <v>198</v>
      </c>
      <c r="I6" s="167">
        <v>900</v>
      </c>
      <c r="J6" s="168">
        <v>0</v>
      </c>
      <c r="K6" s="172">
        <v>1</v>
      </c>
      <c r="L6" s="169">
        <v>400</v>
      </c>
      <c r="M6" s="168">
        <v>0</v>
      </c>
      <c r="N6" s="172">
        <v>1</v>
      </c>
      <c r="O6" s="171" t="s">
        <v>203</v>
      </c>
      <c r="P6" s="171" t="s">
        <v>204</v>
      </c>
      <c r="Q6" s="173" t="s">
        <v>201</v>
      </c>
      <c r="R6" s="173">
        <v>1</v>
      </c>
      <c r="S6" s="170">
        <v>30.299807000000001</v>
      </c>
      <c r="T6" s="174">
        <v>-97.736801</v>
      </c>
      <c r="U6" s="175"/>
      <c r="V6" s="175" t="s">
        <v>205</v>
      </c>
      <c r="W6" s="226"/>
    </row>
    <row r="7" spans="1:23" ht="15" customHeight="1" x14ac:dyDescent="0.2">
      <c r="A7" s="228"/>
      <c r="B7" s="158">
        <v>3</v>
      </c>
      <c r="C7" s="159" t="s">
        <v>196</v>
      </c>
      <c r="D7" s="159" t="s">
        <v>197</v>
      </c>
      <c r="E7" s="160">
        <v>3</v>
      </c>
      <c r="F7" s="161">
        <v>1780</v>
      </c>
      <c r="G7" s="162">
        <v>1.78</v>
      </c>
      <c r="H7" s="163" t="s">
        <v>198</v>
      </c>
      <c r="I7" s="159">
        <v>1000</v>
      </c>
      <c r="J7" s="160">
        <v>0</v>
      </c>
      <c r="K7" s="164">
        <v>1</v>
      </c>
      <c r="L7" s="161">
        <v>525</v>
      </c>
      <c r="M7" s="160">
        <v>0</v>
      </c>
      <c r="N7" s="164">
        <v>1</v>
      </c>
      <c r="O7" s="163" t="s">
        <v>206</v>
      </c>
      <c r="P7" s="163" t="s">
        <v>204</v>
      </c>
      <c r="Q7" s="165" t="s">
        <v>201</v>
      </c>
      <c r="R7" s="165">
        <v>1</v>
      </c>
      <c r="S7" s="162">
        <v>30.292707</v>
      </c>
      <c r="T7" s="162">
        <v>-97.746167</v>
      </c>
      <c r="U7" s="163"/>
      <c r="V7" s="163" t="s">
        <v>207</v>
      </c>
      <c r="W7" s="226"/>
    </row>
    <row r="8" spans="1:23" ht="15" customHeight="1" x14ac:dyDescent="0.2">
      <c r="A8" s="228"/>
      <c r="B8" s="166">
        <v>4</v>
      </c>
      <c r="C8" s="167" t="s">
        <v>196</v>
      </c>
      <c r="D8" s="167" t="s">
        <v>197</v>
      </c>
      <c r="E8" s="168">
        <v>4</v>
      </c>
      <c r="F8" s="169">
        <v>1823.1</v>
      </c>
      <c r="G8" s="170">
        <v>1.823</v>
      </c>
      <c r="H8" s="171" t="s">
        <v>198</v>
      </c>
      <c r="I8" s="167">
        <v>900</v>
      </c>
      <c r="J8" s="168">
        <v>0</v>
      </c>
      <c r="K8" s="172">
        <v>1</v>
      </c>
      <c r="L8" s="169">
        <v>390</v>
      </c>
      <c r="M8" s="168">
        <v>0</v>
      </c>
      <c r="N8" s="172">
        <v>1</v>
      </c>
      <c r="O8" s="171" t="s">
        <v>208</v>
      </c>
      <c r="P8" s="171" t="s">
        <v>200</v>
      </c>
      <c r="Q8" s="173" t="s">
        <v>201</v>
      </c>
      <c r="R8" s="173">
        <v>1</v>
      </c>
      <c r="S8" s="170">
        <v>30.301765</v>
      </c>
      <c r="T8" s="174">
        <v>-97.734993000000003</v>
      </c>
      <c r="U8" s="175"/>
      <c r="V8" s="175" t="s">
        <v>209</v>
      </c>
      <c r="W8" s="226"/>
    </row>
    <row r="9" spans="1:23" ht="15" customHeight="1" x14ac:dyDescent="0.2">
      <c r="A9" s="228"/>
      <c r="B9" s="158">
        <v>5</v>
      </c>
      <c r="C9" s="159" t="s">
        <v>196</v>
      </c>
      <c r="D9" s="159" t="s">
        <v>197</v>
      </c>
      <c r="E9" s="160">
        <v>5</v>
      </c>
      <c r="F9" s="161">
        <v>2019.1</v>
      </c>
      <c r="G9" s="162">
        <v>2.0190000000000001</v>
      </c>
      <c r="H9" s="163" t="s">
        <v>198</v>
      </c>
      <c r="I9" s="159">
        <v>1295</v>
      </c>
      <c r="J9" s="160">
        <v>0</v>
      </c>
      <c r="K9" s="164">
        <v>1</v>
      </c>
      <c r="L9" s="161">
        <v>400</v>
      </c>
      <c r="M9" s="160">
        <v>0</v>
      </c>
      <c r="N9" s="164">
        <v>1</v>
      </c>
      <c r="O9" s="163" t="s">
        <v>210</v>
      </c>
      <c r="P9" s="163" t="s">
        <v>204</v>
      </c>
      <c r="Q9" s="165" t="s">
        <v>201</v>
      </c>
      <c r="R9" s="165">
        <v>1</v>
      </c>
      <c r="S9" s="162">
        <v>30.290113999999999</v>
      </c>
      <c r="T9" s="162">
        <v>-97.747406999999995</v>
      </c>
      <c r="U9" s="163"/>
      <c r="V9" s="163" t="s">
        <v>211</v>
      </c>
      <c r="W9" s="226"/>
    </row>
    <row r="10" spans="1:23" ht="15" customHeight="1" x14ac:dyDescent="0.2">
      <c r="A10" s="228"/>
      <c r="B10" s="166">
        <v>6</v>
      </c>
      <c r="C10" s="167" t="s">
        <v>196</v>
      </c>
      <c r="D10" s="167" t="s">
        <v>197</v>
      </c>
      <c r="E10" s="168">
        <v>6</v>
      </c>
      <c r="F10" s="169">
        <v>2053.8000000000002</v>
      </c>
      <c r="G10" s="170">
        <v>2.0539999999999998</v>
      </c>
      <c r="H10" s="171" t="s">
        <v>198</v>
      </c>
      <c r="I10" s="167">
        <v>925</v>
      </c>
      <c r="J10" s="168">
        <v>0</v>
      </c>
      <c r="K10" s="172">
        <v>1</v>
      </c>
      <c r="L10" s="169">
        <v>500</v>
      </c>
      <c r="M10" s="168">
        <v>0</v>
      </c>
      <c r="N10" s="172">
        <v>1</v>
      </c>
      <c r="O10" s="171" t="s">
        <v>212</v>
      </c>
      <c r="P10" s="171" t="s">
        <v>204</v>
      </c>
      <c r="Q10" s="173" t="s">
        <v>201</v>
      </c>
      <c r="R10" s="173">
        <v>1</v>
      </c>
      <c r="S10" s="170">
        <v>30.290379999999999</v>
      </c>
      <c r="T10" s="174">
        <v>-97.745232000000001</v>
      </c>
      <c r="U10" s="175"/>
      <c r="V10" s="175" t="s">
        <v>213</v>
      </c>
      <c r="W10" s="226"/>
    </row>
    <row r="11" spans="1:23" ht="15" customHeight="1" x14ac:dyDescent="0.2">
      <c r="A11" s="228"/>
      <c r="B11" s="158">
        <v>7</v>
      </c>
      <c r="C11" s="159" t="s">
        <v>196</v>
      </c>
      <c r="D11" s="159" t="s">
        <v>197</v>
      </c>
      <c r="E11" s="160">
        <v>7</v>
      </c>
      <c r="F11" s="161">
        <v>2119.8000000000002</v>
      </c>
      <c r="G11" s="162">
        <v>2.12</v>
      </c>
      <c r="H11" s="163" t="s">
        <v>198</v>
      </c>
      <c r="I11" s="159">
        <v>800</v>
      </c>
      <c r="J11" s="160">
        <v>0</v>
      </c>
      <c r="K11" s="164">
        <v>1</v>
      </c>
      <c r="L11" s="161">
        <v>500</v>
      </c>
      <c r="M11" s="160">
        <v>0</v>
      </c>
      <c r="N11" s="164">
        <v>1</v>
      </c>
      <c r="O11" s="163" t="s">
        <v>214</v>
      </c>
      <c r="P11" s="163" t="s">
        <v>200</v>
      </c>
      <c r="Q11" s="165" t="s">
        <v>201</v>
      </c>
      <c r="R11" s="165">
        <v>1</v>
      </c>
      <c r="S11" s="162">
        <v>30.296143000000001</v>
      </c>
      <c r="T11" s="162">
        <v>-97.735129999999998</v>
      </c>
      <c r="U11" s="163"/>
      <c r="V11" s="163" t="s">
        <v>215</v>
      </c>
      <c r="W11" s="226"/>
    </row>
    <row r="12" spans="1:23" ht="15" customHeight="1" x14ac:dyDescent="0.2">
      <c r="A12" s="228"/>
      <c r="B12" s="166">
        <v>8</v>
      </c>
      <c r="C12" s="167" t="s">
        <v>196</v>
      </c>
      <c r="D12" s="167" t="s">
        <v>197</v>
      </c>
      <c r="E12" s="168">
        <v>8</v>
      </c>
      <c r="F12" s="169">
        <v>2127.1999999999998</v>
      </c>
      <c r="G12" s="170">
        <v>2.1269999999999998</v>
      </c>
      <c r="H12" s="171" t="s">
        <v>198</v>
      </c>
      <c r="I12" s="167">
        <v>1200</v>
      </c>
      <c r="J12" s="168">
        <v>0</v>
      </c>
      <c r="K12" s="172">
        <v>1</v>
      </c>
      <c r="L12" s="169">
        <v>550</v>
      </c>
      <c r="M12" s="168">
        <v>0</v>
      </c>
      <c r="N12" s="172">
        <v>1</v>
      </c>
      <c r="O12" s="171" t="s">
        <v>216</v>
      </c>
      <c r="P12" s="171" t="s">
        <v>204</v>
      </c>
      <c r="Q12" s="173" t="s">
        <v>201</v>
      </c>
      <c r="R12" s="173">
        <v>1</v>
      </c>
      <c r="S12" s="170">
        <v>30.290071999999999</v>
      </c>
      <c r="T12" s="174">
        <v>-97.744060000000005</v>
      </c>
      <c r="U12" s="175"/>
      <c r="V12" s="175" t="s">
        <v>217</v>
      </c>
      <c r="W12" s="226"/>
    </row>
    <row r="13" spans="1:23" ht="15" customHeight="1" x14ac:dyDescent="0.2">
      <c r="A13" s="228"/>
      <c r="B13" s="158">
        <v>9</v>
      </c>
      <c r="C13" s="159" t="s">
        <v>196</v>
      </c>
      <c r="D13" s="159" t="s">
        <v>197</v>
      </c>
      <c r="E13" s="160">
        <v>9</v>
      </c>
      <c r="F13" s="161">
        <v>2259.6999999999998</v>
      </c>
      <c r="G13" s="162">
        <v>2.2599999999999998</v>
      </c>
      <c r="H13" s="163" t="s">
        <v>198</v>
      </c>
      <c r="I13" s="159">
        <v>1500</v>
      </c>
      <c r="J13" s="160">
        <v>0</v>
      </c>
      <c r="K13" s="164">
        <v>1</v>
      </c>
      <c r="L13" s="161">
        <v>350</v>
      </c>
      <c r="M13" s="160">
        <v>0</v>
      </c>
      <c r="N13" s="164">
        <v>1</v>
      </c>
      <c r="O13" s="163" t="s">
        <v>218</v>
      </c>
      <c r="P13" s="163" t="s">
        <v>204</v>
      </c>
      <c r="Q13" s="165" t="s">
        <v>201</v>
      </c>
      <c r="R13" s="165">
        <v>1</v>
      </c>
      <c r="S13" s="162">
        <v>30.287523</v>
      </c>
      <c r="T13" s="162">
        <v>-97.749780999999999</v>
      </c>
      <c r="U13" s="163"/>
      <c r="V13" s="163" t="s">
        <v>219</v>
      </c>
      <c r="W13" s="226"/>
    </row>
    <row r="14" spans="1:23" ht="15" customHeight="1" x14ac:dyDescent="0.2">
      <c r="A14" s="228"/>
      <c r="B14" s="166">
        <v>10</v>
      </c>
      <c r="C14" s="167" t="s">
        <v>196</v>
      </c>
      <c r="D14" s="167" t="s">
        <v>197</v>
      </c>
      <c r="E14" s="168">
        <v>10</v>
      </c>
      <c r="F14" s="169">
        <v>2261.3000000000002</v>
      </c>
      <c r="G14" s="170">
        <v>2.2610000000000001</v>
      </c>
      <c r="H14" s="171" t="s">
        <v>198</v>
      </c>
      <c r="I14" s="167">
        <v>1500</v>
      </c>
      <c r="J14" s="168">
        <v>0</v>
      </c>
      <c r="K14" s="172">
        <v>1</v>
      </c>
      <c r="L14" s="169">
        <v>350</v>
      </c>
      <c r="M14" s="168">
        <v>0</v>
      </c>
      <c r="N14" s="172">
        <v>1</v>
      </c>
      <c r="O14" s="171" t="s">
        <v>220</v>
      </c>
      <c r="P14" s="171" t="s">
        <v>221</v>
      </c>
      <c r="Q14" s="173" t="s">
        <v>201</v>
      </c>
      <c r="R14" s="173">
        <v>1</v>
      </c>
      <c r="S14" s="170">
        <v>30.287507999999999</v>
      </c>
      <c r="T14" s="174">
        <v>-97.749780999999999</v>
      </c>
      <c r="U14" s="175"/>
      <c r="V14" s="175" t="s">
        <v>222</v>
      </c>
      <c r="W14" s="226"/>
    </row>
    <row r="15" spans="1:23" ht="15" customHeight="1" x14ac:dyDescent="0.2">
      <c r="A15" s="228"/>
      <c r="B15" s="158">
        <v>11</v>
      </c>
      <c r="C15" s="159" t="s">
        <v>196</v>
      </c>
      <c r="D15" s="159" t="s">
        <v>197</v>
      </c>
      <c r="E15" s="160">
        <v>11</v>
      </c>
      <c r="F15" s="161">
        <v>2261.3000000000002</v>
      </c>
      <c r="G15" s="162">
        <v>2.2610000000000001</v>
      </c>
      <c r="H15" s="163" t="s">
        <v>198</v>
      </c>
      <c r="I15" s="159">
        <v>1500</v>
      </c>
      <c r="J15" s="160">
        <v>0</v>
      </c>
      <c r="K15" s="164">
        <v>1</v>
      </c>
      <c r="L15" s="161">
        <v>350</v>
      </c>
      <c r="M15" s="160">
        <v>0</v>
      </c>
      <c r="N15" s="164">
        <v>1</v>
      </c>
      <c r="O15" s="163" t="s">
        <v>223</v>
      </c>
      <c r="P15" s="163" t="s">
        <v>221</v>
      </c>
      <c r="Q15" s="165" t="s">
        <v>201</v>
      </c>
      <c r="R15" s="165">
        <v>1</v>
      </c>
      <c r="S15" s="162">
        <v>30.287507999999999</v>
      </c>
      <c r="T15" s="162">
        <v>-97.749780999999999</v>
      </c>
      <c r="U15" s="163"/>
      <c r="V15" s="163" t="s">
        <v>224</v>
      </c>
      <c r="W15" s="226"/>
    </row>
    <row r="16" spans="1:23" ht="15" customHeight="1" x14ac:dyDescent="0.2">
      <c r="A16" s="228"/>
      <c r="B16" s="166">
        <v>12</v>
      </c>
      <c r="C16" s="167" t="s">
        <v>196</v>
      </c>
      <c r="D16" s="167" t="s">
        <v>197</v>
      </c>
      <c r="E16" s="168">
        <v>12</v>
      </c>
      <c r="F16" s="169">
        <v>2261.3000000000002</v>
      </c>
      <c r="G16" s="170">
        <v>2.2610000000000001</v>
      </c>
      <c r="H16" s="171" t="s">
        <v>198</v>
      </c>
      <c r="I16" s="167">
        <v>1500</v>
      </c>
      <c r="J16" s="168">
        <v>0</v>
      </c>
      <c r="K16" s="172">
        <v>1</v>
      </c>
      <c r="L16" s="169">
        <v>350</v>
      </c>
      <c r="M16" s="168">
        <v>0</v>
      </c>
      <c r="N16" s="172">
        <v>1</v>
      </c>
      <c r="O16" s="171" t="s">
        <v>225</v>
      </c>
      <c r="P16" s="171" t="s">
        <v>221</v>
      </c>
      <c r="Q16" s="173" t="s">
        <v>201</v>
      </c>
      <c r="R16" s="173">
        <v>1</v>
      </c>
      <c r="S16" s="170">
        <v>30.287507999999999</v>
      </c>
      <c r="T16" s="174">
        <v>-97.749780999999999</v>
      </c>
      <c r="U16" s="175"/>
      <c r="V16" s="175" t="s">
        <v>226</v>
      </c>
      <c r="W16" s="226"/>
    </row>
    <row r="17" spans="1:23" ht="15" customHeight="1" x14ac:dyDescent="0.2">
      <c r="A17" s="228"/>
      <c r="B17" s="158">
        <v>13</v>
      </c>
      <c r="C17" s="159" t="s">
        <v>196</v>
      </c>
      <c r="D17" s="159" t="s">
        <v>197</v>
      </c>
      <c r="E17" s="160">
        <v>13</v>
      </c>
      <c r="F17" s="161">
        <v>2261.4</v>
      </c>
      <c r="G17" s="162">
        <v>2.2610000000000001</v>
      </c>
      <c r="H17" s="163" t="s">
        <v>198</v>
      </c>
      <c r="I17" s="159">
        <v>1500</v>
      </c>
      <c r="J17" s="160">
        <v>0</v>
      </c>
      <c r="K17" s="164">
        <v>1</v>
      </c>
      <c r="L17" s="161">
        <v>350</v>
      </c>
      <c r="M17" s="160">
        <v>0</v>
      </c>
      <c r="N17" s="164">
        <v>1</v>
      </c>
      <c r="O17" s="163" t="s">
        <v>227</v>
      </c>
      <c r="P17" s="163" t="s">
        <v>221</v>
      </c>
      <c r="Q17" s="165" t="s">
        <v>201</v>
      </c>
      <c r="R17" s="165">
        <v>1</v>
      </c>
      <c r="S17" s="162">
        <v>30.287507000000002</v>
      </c>
      <c r="T17" s="162">
        <v>-97.749780999999999</v>
      </c>
      <c r="U17" s="163"/>
      <c r="V17" s="163" t="s">
        <v>228</v>
      </c>
      <c r="W17" s="226"/>
    </row>
    <row r="18" spans="1:23" ht="15" customHeight="1" x14ac:dyDescent="0.2">
      <c r="A18" s="228"/>
      <c r="B18" s="166">
        <v>14</v>
      </c>
      <c r="C18" s="167" t="s">
        <v>196</v>
      </c>
      <c r="D18" s="167" t="s">
        <v>197</v>
      </c>
      <c r="E18" s="168">
        <v>14</v>
      </c>
      <c r="F18" s="169">
        <v>2261.4</v>
      </c>
      <c r="G18" s="170">
        <v>2.2610000000000001</v>
      </c>
      <c r="H18" s="171" t="s">
        <v>198</v>
      </c>
      <c r="I18" s="167">
        <v>1500</v>
      </c>
      <c r="J18" s="168">
        <v>0</v>
      </c>
      <c r="K18" s="172">
        <v>1</v>
      </c>
      <c r="L18" s="169">
        <v>400</v>
      </c>
      <c r="M18" s="168">
        <v>0</v>
      </c>
      <c r="N18" s="172">
        <v>1</v>
      </c>
      <c r="O18" s="171" t="s">
        <v>229</v>
      </c>
      <c r="P18" s="171" t="s">
        <v>204</v>
      </c>
      <c r="Q18" s="173" t="s">
        <v>201</v>
      </c>
      <c r="R18" s="173">
        <v>1</v>
      </c>
      <c r="S18" s="170">
        <v>30.287507000000002</v>
      </c>
      <c r="T18" s="174">
        <v>-97.749780999999999</v>
      </c>
      <c r="U18" s="175"/>
      <c r="V18" s="175" t="s">
        <v>230</v>
      </c>
      <c r="W18" s="226"/>
    </row>
    <row r="19" spans="1:23" ht="15" customHeight="1" x14ac:dyDescent="0.2">
      <c r="A19" s="228"/>
      <c r="B19" s="158">
        <v>15</v>
      </c>
      <c r="C19" s="159" t="s">
        <v>196</v>
      </c>
      <c r="D19" s="159" t="s">
        <v>197</v>
      </c>
      <c r="E19" s="160">
        <v>15</v>
      </c>
      <c r="F19" s="161">
        <v>2261.4</v>
      </c>
      <c r="G19" s="162">
        <v>2.2610000000000001</v>
      </c>
      <c r="H19" s="163" t="s">
        <v>198</v>
      </c>
      <c r="I19" s="159">
        <v>1500</v>
      </c>
      <c r="J19" s="160">
        <v>0</v>
      </c>
      <c r="K19" s="164">
        <v>1</v>
      </c>
      <c r="L19" s="161">
        <v>400</v>
      </c>
      <c r="M19" s="160">
        <v>0</v>
      </c>
      <c r="N19" s="164">
        <v>1</v>
      </c>
      <c r="O19" s="163" t="s">
        <v>231</v>
      </c>
      <c r="P19" s="163" t="s">
        <v>204</v>
      </c>
      <c r="Q19" s="165" t="s">
        <v>201</v>
      </c>
      <c r="R19" s="165">
        <v>1</v>
      </c>
      <c r="S19" s="162">
        <v>30.287507000000002</v>
      </c>
      <c r="T19" s="162">
        <v>-97.749780999999999</v>
      </c>
      <c r="U19" s="163"/>
      <c r="V19" s="163" t="s">
        <v>232</v>
      </c>
      <c r="W19" s="226"/>
    </row>
    <row r="20" spans="1:23" ht="15" customHeight="1" x14ac:dyDescent="0.2">
      <c r="A20" s="228"/>
      <c r="B20" s="166">
        <v>16</v>
      </c>
      <c r="C20" s="167" t="s">
        <v>196</v>
      </c>
      <c r="D20" s="167" t="s">
        <v>197</v>
      </c>
      <c r="E20" s="168">
        <v>16</v>
      </c>
      <c r="F20" s="169">
        <v>2261.4</v>
      </c>
      <c r="G20" s="170">
        <v>2.2610000000000001</v>
      </c>
      <c r="H20" s="171" t="s">
        <v>198</v>
      </c>
      <c r="I20" s="167">
        <v>1500</v>
      </c>
      <c r="J20" s="168">
        <v>0</v>
      </c>
      <c r="K20" s="172">
        <v>1</v>
      </c>
      <c r="L20" s="169">
        <v>400</v>
      </c>
      <c r="M20" s="168">
        <v>0</v>
      </c>
      <c r="N20" s="172">
        <v>1</v>
      </c>
      <c r="O20" s="171" t="s">
        <v>233</v>
      </c>
      <c r="P20" s="171" t="s">
        <v>221</v>
      </c>
      <c r="Q20" s="173" t="s">
        <v>201</v>
      </c>
      <c r="R20" s="173">
        <v>1</v>
      </c>
      <c r="S20" s="170">
        <v>30.287507000000002</v>
      </c>
      <c r="T20" s="174">
        <v>-97.749780999999999</v>
      </c>
      <c r="U20" s="175"/>
      <c r="V20" s="175" t="s">
        <v>234</v>
      </c>
      <c r="W20" s="226"/>
    </row>
    <row r="21" spans="1:23" ht="15" customHeight="1" x14ac:dyDescent="0.2">
      <c r="A21" s="228"/>
      <c r="B21" s="158">
        <v>17</v>
      </c>
      <c r="C21" s="159" t="s">
        <v>196</v>
      </c>
      <c r="D21" s="159" t="s">
        <v>197</v>
      </c>
      <c r="E21" s="160">
        <v>17</v>
      </c>
      <c r="F21" s="161">
        <v>2261.4</v>
      </c>
      <c r="G21" s="162">
        <v>2.2610000000000001</v>
      </c>
      <c r="H21" s="163" t="s">
        <v>198</v>
      </c>
      <c r="I21" s="159">
        <v>1500</v>
      </c>
      <c r="J21" s="160">
        <v>0</v>
      </c>
      <c r="K21" s="164">
        <v>1</v>
      </c>
      <c r="L21" s="161">
        <v>350</v>
      </c>
      <c r="M21" s="160">
        <v>0</v>
      </c>
      <c r="N21" s="164">
        <v>1</v>
      </c>
      <c r="O21" s="163" t="s">
        <v>235</v>
      </c>
      <c r="P21" s="163" t="s">
        <v>204</v>
      </c>
      <c r="Q21" s="165" t="s">
        <v>201</v>
      </c>
      <c r="R21" s="165">
        <v>1</v>
      </c>
      <c r="S21" s="162">
        <v>30.287507000000002</v>
      </c>
      <c r="T21" s="162">
        <v>-97.749780999999999</v>
      </c>
      <c r="U21" s="163"/>
      <c r="V21" s="163" t="s">
        <v>236</v>
      </c>
      <c r="W21" s="226"/>
    </row>
    <row r="22" spans="1:23" ht="15" customHeight="1" x14ac:dyDescent="0.2">
      <c r="A22" s="228"/>
      <c r="B22" s="166">
        <v>18</v>
      </c>
      <c r="C22" s="167" t="s">
        <v>196</v>
      </c>
      <c r="D22" s="167" t="s">
        <v>197</v>
      </c>
      <c r="E22" s="168">
        <v>18</v>
      </c>
      <c r="F22" s="169">
        <v>2261.4</v>
      </c>
      <c r="G22" s="170">
        <v>2.2610000000000001</v>
      </c>
      <c r="H22" s="171" t="s">
        <v>198</v>
      </c>
      <c r="I22" s="167">
        <v>1500</v>
      </c>
      <c r="J22" s="168">
        <v>0</v>
      </c>
      <c r="K22" s="172">
        <v>1</v>
      </c>
      <c r="L22" s="169">
        <v>400</v>
      </c>
      <c r="M22" s="168">
        <v>0</v>
      </c>
      <c r="N22" s="172">
        <v>1</v>
      </c>
      <c r="O22" s="171" t="s">
        <v>237</v>
      </c>
      <c r="P22" s="171" t="s">
        <v>204</v>
      </c>
      <c r="Q22" s="173" t="s">
        <v>201</v>
      </c>
      <c r="R22" s="173">
        <v>1</v>
      </c>
      <c r="S22" s="170">
        <v>30.287507000000002</v>
      </c>
      <c r="T22" s="174">
        <v>-97.749780999999999</v>
      </c>
      <c r="U22" s="175"/>
      <c r="V22" s="175" t="s">
        <v>238</v>
      </c>
      <c r="W22" s="226"/>
    </row>
    <row r="23" spans="1:23" ht="15" customHeight="1" x14ac:dyDescent="0.2">
      <c r="A23" s="228"/>
      <c r="B23" s="158">
        <v>19</v>
      </c>
      <c r="C23" s="159" t="s">
        <v>196</v>
      </c>
      <c r="D23" s="159" t="s">
        <v>197</v>
      </c>
      <c r="E23" s="160">
        <v>19</v>
      </c>
      <c r="F23" s="161">
        <v>2594.6</v>
      </c>
      <c r="G23" s="162">
        <v>2.5950000000000002</v>
      </c>
      <c r="H23" s="163" t="s">
        <v>198</v>
      </c>
      <c r="I23" s="159">
        <v>1500</v>
      </c>
      <c r="J23" s="160">
        <v>0</v>
      </c>
      <c r="K23" s="164">
        <v>1</v>
      </c>
      <c r="L23" s="161">
        <v>400</v>
      </c>
      <c r="M23" s="160">
        <v>0</v>
      </c>
      <c r="N23" s="164">
        <v>1</v>
      </c>
      <c r="O23" s="163" t="s">
        <v>239</v>
      </c>
      <c r="P23" s="163" t="s">
        <v>221</v>
      </c>
      <c r="Q23" s="165" t="s">
        <v>201</v>
      </c>
      <c r="R23" s="165">
        <v>1</v>
      </c>
      <c r="S23" s="162">
        <v>30.284725000000002</v>
      </c>
      <c r="T23" s="162">
        <v>-97.747901999999996</v>
      </c>
      <c r="U23" s="163"/>
      <c r="V23" s="163" t="s">
        <v>240</v>
      </c>
      <c r="W23" s="226"/>
    </row>
    <row r="24" spans="1:23" ht="15" customHeight="1" x14ac:dyDescent="0.2">
      <c r="A24" s="228"/>
      <c r="B24" s="176">
        <v>20</v>
      </c>
      <c r="C24" s="177" t="s">
        <v>196</v>
      </c>
      <c r="D24" s="177" t="s">
        <v>197</v>
      </c>
      <c r="E24" s="178">
        <v>20</v>
      </c>
      <c r="F24" s="179">
        <v>2594.6</v>
      </c>
      <c r="G24" s="180">
        <v>2.5950000000000002</v>
      </c>
      <c r="H24" s="181" t="s">
        <v>198</v>
      </c>
      <c r="I24" s="177">
        <v>1200</v>
      </c>
      <c r="J24" s="178">
        <v>0</v>
      </c>
      <c r="K24" s="182">
        <v>1</v>
      </c>
      <c r="L24" s="179">
        <v>400</v>
      </c>
      <c r="M24" s="178">
        <v>0</v>
      </c>
      <c r="N24" s="182">
        <v>1</v>
      </c>
      <c r="O24" s="181" t="s">
        <v>241</v>
      </c>
      <c r="P24" s="181" t="s">
        <v>221</v>
      </c>
      <c r="Q24" s="183" t="s">
        <v>201</v>
      </c>
      <c r="R24" s="183">
        <v>1</v>
      </c>
      <c r="S24" s="180">
        <v>30.284725000000002</v>
      </c>
      <c r="T24" s="174">
        <v>-97.747901999999996</v>
      </c>
      <c r="U24" s="175"/>
      <c r="V24" s="175" t="s">
        <v>242</v>
      </c>
      <c r="W24" s="226"/>
    </row>
    <row r="25" spans="1:23" ht="15.75" customHeight="1" x14ac:dyDescent="0.2">
      <c r="B25" s="158">
        <v>21</v>
      </c>
      <c r="C25" s="159" t="s">
        <v>196</v>
      </c>
      <c r="D25" s="159" t="s">
        <v>197</v>
      </c>
      <c r="E25" s="160">
        <v>21</v>
      </c>
      <c r="F25" s="161">
        <v>2595</v>
      </c>
      <c r="G25" s="162">
        <v>2.5950000000000002</v>
      </c>
      <c r="H25" s="163" t="s">
        <v>198</v>
      </c>
      <c r="I25" s="159">
        <v>1200</v>
      </c>
      <c r="J25" s="160">
        <v>0</v>
      </c>
      <c r="K25" s="164">
        <v>1</v>
      </c>
      <c r="L25" s="161">
        <v>400</v>
      </c>
      <c r="M25" s="160">
        <v>0</v>
      </c>
      <c r="N25" s="164">
        <v>1</v>
      </c>
      <c r="O25" s="163" t="s">
        <v>243</v>
      </c>
      <c r="P25" s="163" t="s">
        <v>221</v>
      </c>
      <c r="Q25" s="165" t="s">
        <v>201</v>
      </c>
      <c r="R25" s="165">
        <v>1</v>
      </c>
      <c r="S25" s="162">
        <v>30.284721000000001</v>
      </c>
      <c r="T25" s="162">
        <v>-97.747904000000005</v>
      </c>
      <c r="U25" s="163"/>
      <c r="V25" s="163" t="s">
        <v>244</v>
      </c>
      <c r="W25" s="226"/>
    </row>
    <row r="26" spans="1:23" ht="15.75" customHeight="1" x14ac:dyDescent="0.2">
      <c r="B26" s="176">
        <v>22</v>
      </c>
      <c r="C26" s="177" t="s">
        <v>196</v>
      </c>
      <c r="D26" s="177" t="s">
        <v>197</v>
      </c>
      <c r="E26" s="178">
        <v>22</v>
      </c>
      <c r="F26" s="179">
        <v>2595</v>
      </c>
      <c r="G26" s="180">
        <v>2.5950000000000002</v>
      </c>
      <c r="H26" s="181" t="s">
        <v>198</v>
      </c>
      <c r="I26" s="177">
        <v>1200</v>
      </c>
      <c r="J26" s="178">
        <v>0</v>
      </c>
      <c r="K26" s="182">
        <v>1</v>
      </c>
      <c r="L26" s="179">
        <v>400</v>
      </c>
      <c r="M26" s="178">
        <v>0</v>
      </c>
      <c r="N26" s="182">
        <v>1</v>
      </c>
      <c r="O26" s="181" t="s">
        <v>245</v>
      </c>
      <c r="P26" s="181" t="s">
        <v>221</v>
      </c>
      <c r="Q26" s="183" t="s">
        <v>201</v>
      </c>
      <c r="R26" s="183">
        <v>1</v>
      </c>
      <c r="S26" s="180">
        <v>30.284721000000001</v>
      </c>
      <c r="T26" s="174">
        <v>-97.747904000000005</v>
      </c>
      <c r="U26" s="175"/>
      <c r="V26" s="175" t="s">
        <v>246</v>
      </c>
      <c r="W26" s="226"/>
    </row>
    <row r="27" spans="1:23" ht="15.75" customHeight="1" x14ac:dyDescent="0.2">
      <c r="B27" s="158">
        <v>23</v>
      </c>
      <c r="C27" s="159" t="s">
        <v>196</v>
      </c>
      <c r="D27" s="159" t="s">
        <v>197</v>
      </c>
      <c r="E27" s="160">
        <v>23</v>
      </c>
      <c r="F27" s="161">
        <v>2596.9</v>
      </c>
      <c r="G27" s="162">
        <v>2.597</v>
      </c>
      <c r="H27" s="163" t="s">
        <v>198</v>
      </c>
      <c r="I27" s="159">
        <v>1200</v>
      </c>
      <c r="J27" s="160">
        <v>0</v>
      </c>
      <c r="K27" s="164">
        <v>1</v>
      </c>
      <c r="L27" s="161">
        <v>400</v>
      </c>
      <c r="M27" s="160">
        <v>0</v>
      </c>
      <c r="N27" s="164">
        <v>1</v>
      </c>
      <c r="O27" s="163" t="s">
        <v>247</v>
      </c>
      <c r="P27" s="163" t="s">
        <v>221</v>
      </c>
      <c r="Q27" s="165" t="s">
        <v>201</v>
      </c>
      <c r="R27" s="165">
        <v>1</v>
      </c>
      <c r="S27" s="162">
        <v>30.284704000000001</v>
      </c>
      <c r="T27" s="162">
        <v>-97.747898000000006</v>
      </c>
      <c r="U27" s="163"/>
      <c r="V27" s="163" t="s">
        <v>248</v>
      </c>
      <c r="W27" s="226"/>
    </row>
    <row r="28" spans="1:23" ht="16.5" customHeight="1" x14ac:dyDescent="0.2">
      <c r="B28" s="176">
        <v>24</v>
      </c>
      <c r="C28" s="177" t="s">
        <v>196</v>
      </c>
      <c r="D28" s="177" t="s">
        <v>197</v>
      </c>
      <c r="E28" s="178">
        <v>24</v>
      </c>
      <c r="F28" s="179">
        <v>2601</v>
      </c>
      <c r="G28" s="180">
        <v>2.601</v>
      </c>
      <c r="H28" s="181" t="s">
        <v>198</v>
      </c>
      <c r="I28" s="177">
        <v>1500</v>
      </c>
      <c r="J28" s="178">
        <v>0</v>
      </c>
      <c r="K28" s="182">
        <v>1</v>
      </c>
      <c r="L28" s="179">
        <v>400</v>
      </c>
      <c r="M28" s="178">
        <v>0</v>
      </c>
      <c r="N28" s="182">
        <v>1</v>
      </c>
      <c r="O28" s="181" t="s">
        <v>249</v>
      </c>
      <c r="P28" s="181" t="s">
        <v>221</v>
      </c>
      <c r="Q28" s="183" t="s">
        <v>201</v>
      </c>
      <c r="R28" s="183">
        <v>1</v>
      </c>
      <c r="S28" s="180">
        <v>30.284668</v>
      </c>
      <c r="T28" s="174">
        <v>-97.747887000000006</v>
      </c>
      <c r="U28" s="175"/>
      <c r="V28" s="175" t="s">
        <v>250</v>
      </c>
      <c r="W28" s="226"/>
    </row>
    <row r="29" spans="1:23" ht="16.5" customHeight="1" x14ac:dyDescent="0.2">
      <c r="B29" s="158">
        <v>25</v>
      </c>
      <c r="C29" s="159" t="s">
        <v>196</v>
      </c>
      <c r="D29" s="159" t="s">
        <v>197</v>
      </c>
      <c r="E29" s="160">
        <v>25</v>
      </c>
      <c r="F29" s="161">
        <v>2601</v>
      </c>
      <c r="G29" s="162">
        <v>2.601</v>
      </c>
      <c r="H29" s="163" t="s">
        <v>198</v>
      </c>
      <c r="I29" s="159">
        <v>1500</v>
      </c>
      <c r="J29" s="160">
        <v>0</v>
      </c>
      <c r="K29" s="164">
        <v>1</v>
      </c>
      <c r="L29" s="161">
        <v>400</v>
      </c>
      <c r="M29" s="160">
        <v>0</v>
      </c>
      <c r="N29" s="164">
        <v>1</v>
      </c>
      <c r="O29" s="163" t="s">
        <v>251</v>
      </c>
      <c r="P29" s="163" t="s">
        <v>221</v>
      </c>
      <c r="Q29" s="165" t="s">
        <v>201</v>
      </c>
      <c r="R29" s="165">
        <v>1</v>
      </c>
      <c r="S29" s="162">
        <v>30.284668</v>
      </c>
      <c r="T29" s="162">
        <v>-97.747887000000006</v>
      </c>
      <c r="U29" s="163"/>
      <c r="V29" s="163" t="s">
        <v>252</v>
      </c>
      <c r="W29" s="226"/>
    </row>
    <row r="30" spans="1:23" ht="15.75" customHeight="1" x14ac:dyDescent="0.2">
      <c r="B30" s="176">
        <v>26</v>
      </c>
      <c r="C30" s="177" t="s">
        <v>196</v>
      </c>
      <c r="D30" s="177" t="s">
        <v>197</v>
      </c>
      <c r="E30" s="178">
        <v>26</v>
      </c>
      <c r="F30" s="179">
        <v>2601</v>
      </c>
      <c r="G30" s="180">
        <v>2.601</v>
      </c>
      <c r="H30" s="181" t="s">
        <v>198</v>
      </c>
      <c r="I30" s="177">
        <v>1500</v>
      </c>
      <c r="J30" s="178">
        <v>0</v>
      </c>
      <c r="K30" s="182">
        <v>1</v>
      </c>
      <c r="L30" s="179">
        <v>400</v>
      </c>
      <c r="M30" s="178">
        <v>0</v>
      </c>
      <c r="N30" s="182">
        <v>1</v>
      </c>
      <c r="O30" s="181" t="s">
        <v>253</v>
      </c>
      <c r="P30" s="181" t="s">
        <v>221</v>
      </c>
      <c r="Q30" s="183" t="s">
        <v>201</v>
      </c>
      <c r="R30" s="183">
        <v>1</v>
      </c>
      <c r="S30" s="180">
        <v>30.284668</v>
      </c>
      <c r="T30" s="174">
        <v>-97.747887000000006</v>
      </c>
      <c r="U30" s="175"/>
      <c r="V30" s="175" t="s">
        <v>254</v>
      </c>
      <c r="W30" s="226"/>
    </row>
    <row r="31" spans="1:23" ht="15.75" customHeight="1" x14ac:dyDescent="0.2">
      <c r="B31" s="158">
        <v>27</v>
      </c>
      <c r="C31" s="159" t="s">
        <v>196</v>
      </c>
      <c r="D31" s="159" t="s">
        <v>197</v>
      </c>
      <c r="E31" s="160">
        <v>27</v>
      </c>
      <c r="F31" s="161">
        <v>2829.1</v>
      </c>
      <c r="G31" s="162">
        <v>2.8290000000000002</v>
      </c>
      <c r="H31" s="163" t="s">
        <v>198</v>
      </c>
      <c r="I31" s="159">
        <v>1300</v>
      </c>
      <c r="J31" s="160">
        <v>0</v>
      </c>
      <c r="K31" s="164">
        <v>1</v>
      </c>
      <c r="L31" s="161">
        <v>425</v>
      </c>
      <c r="M31" s="160">
        <v>0</v>
      </c>
      <c r="N31" s="164">
        <v>1</v>
      </c>
      <c r="O31" s="163" t="s">
        <v>255</v>
      </c>
      <c r="P31" s="163" t="s">
        <v>221</v>
      </c>
      <c r="Q31" s="165" t="s">
        <v>201</v>
      </c>
      <c r="R31" s="165">
        <v>1</v>
      </c>
      <c r="S31" s="162">
        <v>30.289577000000001</v>
      </c>
      <c r="T31" s="162">
        <v>-97.732004000000003</v>
      </c>
      <c r="U31" s="163"/>
      <c r="V31" s="163" t="s">
        <v>256</v>
      </c>
      <c r="W31" s="226"/>
    </row>
    <row r="32" spans="1:23" ht="16.5" customHeight="1" x14ac:dyDescent="0.2">
      <c r="B32" s="176">
        <v>28</v>
      </c>
      <c r="C32" s="177" t="s">
        <v>196</v>
      </c>
      <c r="D32" s="177" t="s">
        <v>197</v>
      </c>
      <c r="E32" s="178">
        <v>28</v>
      </c>
      <c r="F32" s="179">
        <v>2830</v>
      </c>
      <c r="G32" s="180">
        <v>2.83</v>
      </c>
      <c r="H32" s="181" t="s">
        <v>198</v>
      </c>
      <c r="I32" s="177">
        <v>1300</v>
      </c>
      <c r="J32" s="178">
        <v>0</v>
      </c>
      <c r="K32" s="182">
        <v>1</v>
      </c>
      <c r="L32" s="179">
        <v>425</v>
      </c>
      <c r="M32" s="178">
        <v>0</v>
      </c>
      <c r="N32" s="182">
        <v>1</v>
      </c>
      <c r="O32" s="181" t="s">
        <v>257</v>
      </c>
      <c r="P32" s="181" t="s">
        <v>221</v>
      </c>
      <c r="Q32" s="183" t="s">
        <v>201</v>
      </c>
      <c r="R32" s="183">
        <v>1</v>
      </c>
      <c r="S32" s="180">
        <v>30.289572</v>
      </c>
      <c r="T32" s="174">
        <v>-97.731997000000007</v>
      </c>
      <c r="U32" s="175"/>
      <c r="V32" s="175" t="s">
        <v>258</v>
      </c>
      <c r="W32" s="226"/>
    </row>
    <row r="33" spans="2:23" ht="15.75" customHeight="1" x14ac:dyDescent="0.2">
      <c r="B33" s="158">
        <v>29</v>
      </c>
      <c r="C33" s="159" t="s">
        <v>196</v>
      </c>
      <c r="D33" s="159" t="s">
        <v>197</v>
      </c>
      <c r="E33" s="160">
        <v>29</v>
      </c>
      <c r="F33" s="161">
        <v>3013.1</v>
      </c>
      <c r="G33" s="162">
        <v>3.0129999999999999</v>
      </c>
      <c r="H33" s="163" t="s">
        <v>198</v>
      </c>
      <c r="I33" s="159">
        <v>3850</v>
      </c>
      <c r="J33" s="160">
        <v>0</v>
      </c>
      <c r="K33" s="164">
        <v>1</v>
      </c>
      <c r="L33" s="161">
        <v>650</v>
      </c>
      <c r="M33" s="160">
        <v>0</v>
      </c>
      <c r="N33" s="164">
        <v>1</v>
      </c>
      <c r="O33" s="163" t="s">
        <v>259</v>
      </c>
      <c r="P33" s="163" t="s">
        <v>200</v>
      </c>
      <c r="Q33" s="165" t="s">
        <v>201</v>
      </c>
      <c r="R33" s="165">
        <v>1</v>
      </c>
      <c r="S33" s="162">
        <v>30.281556999999999</v>
      </c>
      <c r="T33" s="162">
        <v>-97.761009000000001</v>
      </c>
      <c r="U33" s="163"/>
      <c r="V33" s="163" t="s">
        <v>260</v>
      </c>
      <c r="W33" s="226"/>
    </row>
    <row r="34" spans="2:23" ht="15.75" customHeight="1" x14ac:dyDescent="0.2">
      <c r="B34" s="176">
        <v>30</v>
      </c>
      <c r="C34" s="177" t="s">
        <v>196</v>
      </c>
      <c r="D34" s="177" t="s">
        <v>197</v>
      </c>
      <c r="E34" s="178">
        <v>30</v>
      </c>
      <c r="F34" s="179">
        <v>3095.6</v>
      </c>
      <c r="G34" s="180">
        <v>3.0960000000000001</v>
      </c>
      <c r="H34" s="181" t="s">
        <v>198</v>
      </c>
      <c r="I34" s="177">
        <v>875</v>
      </c>
      <c r="J34" s="178">
        <v>0</v>
      </c>
      <c r="K34" s="182">
        <v>1</v>
      </c>
      <c r="L34" s="179">
        <v>435</v>
      </c>
      <c r="M34" s="178">
        <v>0</v>
      </c>
      <c r="N34" s="182">
        <v>1</v>
      </c>
      <c r="O34" s="181" t="s">
        <v>261</v>
      </c>
      <c r="P34" s="181" t="s">
        <v>221</v>
      </c>
      <c r="Q34" s="183" t="s">
        <v>201</v>
      </c>
      <c r="R34" s="183">
        <v>1</v>
      </c>
      <c r="S34" s="180">
        <v>30.298165999999998</v>
      </c>
      <c r="T34" s="174">
        <v>-97.722401000000005</v>
      </c>
      <c r="U34" s="175"/>
      <c r="V34" s="175" t="s">
        <v>262</v>
      </c>
      <c r="W34" s="226"/>
    </row>
    <row r="35" spans="2:23" ht="15.75" customHeight="1" x14ac:dyDescent="0.2">
      <c r="B35" s="158">
        <v>31</v>
      </c>
      <c r="C35" s="159" t="s">
        <v>196</v>
      </c>
      <c r="D35" s="159" t="s">
        <v>197</v>
      </c>
      <c r="E35" s="160">
        <v>31</v>
      </c>
      <c r="F35" s="161">
        <v>4391.5</v>
      </c>
      <c r="G35" s="162">
        <v>4.391</v>
      </c>
      <c r="H35" s="163" t="s">
        <v>198</v>
      </c>
      <c r="I35" s="159">
        <v>799</v>
      </c>
      <c r="J35" s="160">
        <v>0</v>
      </c>
      <c r="K35" s="164">
        <v>1</v>
      </c>
      <c r="L35" s="161">
        <v>378</v>
      </c>
      <c r="M35" s="160">
        <v>0</v>
      </c>
      <c r="N35" s="164">
        <v>1</v>
      </c>
      <c r="O35" s="163" t="s">
        <v>263</v>
      </c>
      <c r="P35" s="163" t="s">
        <v>200</v>
      </c>
      <c r="Q35" s="165" t="s">
        <v>201</v>
      </c>
      <c r="R35" s="165">
        <v>1</v>
      </c>
      <c r="S35" s="162">
        <v>30.285281999999999</v>
      </c>
      <c r="T35" s="162">
        <v>-97.715034000000003</v>
      </c>
      <c r="U35" s="163"/>
      <c r="V35" s="163" t="s">
        <v>264</v>
      </c>
      <c r="W35" s="226"/>
    </row>
    <row r="36" spans="2:23" ht="16.5" customHeight="1" x14ac:dyDescent="0.2">
      <c r="B36" s="176">
        <v>32</v>
      </c>
      <c r="C36" s="177" t="s">
        <v>196</v>
      </c>
      <c r="D36" s="177" t="s">
        <v>197</v>
      </c>
      <c r="E36" s="178">
        <v>32</v>
      </c>
      <c r="F36" s="179">
        <v>4391.5</v>
      </c>
      <c r="G36" s="180">
        <v>4.391</v>
      </c>
      <c r="H36" s="181" t="s">
        <v>198</v>
      </c>
      <c r="I36" s="177">
        <v>824</v>
      </c>
      <c r="J36" s="178">
        <v>0</v>
      </c>
      <c r="K36" s="182">
        <v>1</v>
      </c>
      <c r="L36" s="179">
        <v>391</v>
      </c>
      <c r="M36" s="178">
        <v>0</v>
      </c>
      <c r="N36" s="182">
        <v>1</v>
      </c>
      <c r="O36" s="181" t="s">
        <v>265</v>
      </c>
      <c r="P36" s="181" t="s">
        <v>200</v>
      </c>
      <c r="Q36" s="183" t="s">
        <v>201</v>
      </c>
      <c r="R36" s="183">
        <v>1</v>
      </c>
      <c r="S36" s="180">
        <v>30.285281999999999</v>
      </c>
      <c r="T36" s="174">
        <v>-97.715034000000003</v>
      </c>
      <c r="U36" s="175"/>
      <c r="V36" s="175" t="s">
        <v>266</v>
      </c>
      <c r="W36" s="226"/>
    </row>
    <row r="37" spans="2:23" ht="15.75" customHeight="1" x14ac:dyDescent="0.2">
      <c r="B37" s="158">
        <v>33</v>
      </c>
      <c r="C37" s="159" t="s">
        <v>196</v>
      </c>
      <c r="D37" s="159" t="s">
        <v>197</v>
      </c>
      <c r="E37" s="160">
        <v>33</v>
      </c>
      <c r="F37" s="161">
        <v>4391.5</v>
      </c>
      <c r="G37" s="162">
        <v>4.391</v>
      </c>
      <c r="H37" s="163" t="s">
        <v>198</v>
      </c>
      <c r="I37" s="159">
        <v>824</v>
      </c>
      <c r="J37" s="160">
        <v>0</v>
      </c>
      <c r="K37" s="164">
        <v>1</v>
      </c>
      <c r="L37" s="161">
        <v>394</v>
      </c>
      <c r="M37" s="160">
        <v>0</v>
      </c>
      <c r="N37" s="164">
        <v>1</v>
      </c>
      <c r="O37" s="163" t="s">
        <v>267</v>
      </c>
      <c r="P37" s="163" t="s">
        <v>200</v>
      </c>
      <c r="Q37" s="165" t="s">
        <v>201</v>
      </c>
      <c r="R37" s="165">
        <v>1</v>
      </c>
      <c r="S37" s="162">
        <v>30.285281999999999</v>
      </c>
      <c r="T37" s="162">
        <v>-97.715034000000003</v>
      </c>
      <c r="U37" s="163"/>
      <c r="V37" s="163" t="s">
        <v>268</v>
      </c>
      <c r="W37" s="226"/>
    </row>
    <row r="38" spans="2:23" ht="15.75" customHeight="1" x14ac:dyDescent="0.2">
      <c r="B38" s="176">
        <v>34</v>
      </c>
      <c r="C38" s="177" t="s">
        <v>196</v>
      </c>
      <c r="D38" s="177" t="s">
        <v>197</v>
      </c>
      <c r="E38" s="178">
        <v>34</v>
      </c>
      <c r="F38" s="179">
        <v>4391.5</v>
      </c>
      <c r="G38" s="180">
        <v>4.391</v>
      </c>
      <c r="H38" s="181" t="s">
        <v>198</v>
      </c>
      <c r="I38" s="177">
        <v>824</v>
      </c>
      <c r="J38" s="178">
        <v>0</v>
      </c>
      <c r="K38" s="182">
        <v>1</v>
      </c>
      <c r="L38" s="179">
        <v>391</v>
      </c>
      <c r="M38" s="178">
        <v>0</v>
      </c>
      <c r="N38" s="182">
        <v>1</v>
      </c>
      <c r="O38" s="181" t="s">
        <v>269</v>
      </c>
      <c r="P38" s="181" t="s">
        <v>200</v>
      </c>
      <c r="Q38" s="183" t="s">
        <v>201</v>
      </c>
      <c r="R38" s="183">
        <v>1</v>
      </c>
      <c r="S38" s="180">
        <v>30.285281999999999</v>
      </c>
      <c r="T38" s="174">
        <v>-97.715034000000003</v>
      </c>
      <c r="U38" s="175"/>
      <c r="V38" s="175" t="s">
        <v>270</v>
      </c>
      <c r="W38" s="226"/>
    </row>
    <row r="39" spans="2:23" ht="15.75" customHeight="1" x14ac:dyDescent="0.2">
      <c r="B39" s="158">
        <v>35</v>
      </c>
      <c r="C39" s="159" t="s">
        <v>196</v>
      </c>
      <c r="D39" s="159" t="s">
        <v>197</v>
      </c>
      <c r="E39" s="160">
        <v>35</v>
      </c>
      <c r="F39" s="161">
        <v>4391.5</v>
      </c>
      <c r="G39" s="162">
        <v>4.391</v>
      </c>
      <c r="H39" s="163" t="s">
        <v>198</v>
      </c>
      <c r="I39" s="159">
        <v>824</v>
      </c>
      <c r="J39" s="160">
        <v>0</v>
      </c>
      <c r="K39" s="164">
        <v>1</v>
      </c>
      <c r="L39" s="161">
        <v>391</v>
      </c>
      <c r="M39" s="160">
        <v>0</v>
      </c>
      <c r="N39" s="164">
        <v>1</v>
      </c>
      <c r="O39" s="163" t="s">
        <v>271</v>
      </c>
      <c r="P39" s="163" t="s">
        <v>200</v>
      </c>
      <c r="Q39" s="165" t="s">
        <v>201</v>
      </c>
      <c r="R39" s="165">
        <v>1</v>
      </c>
      <c r="S39" s="162">
        <v>30.285281999999999</v>
      </c>
      <c r="T39" s="162">
        <v>-97.715034000000003</v>
      </c>
      <c r="U39" s="163"/>
      <c r="V39" s="163" t="s">
        <v>272</v>
      </c>
      <c r="W39" s="226"/>
    </row>
    <row r="40" spans="2:23" ht="16.5" customHeight="1" x14ac:dyDescent="0.2">
      <c r="B40" s="176">
        <v>36</v>
      </c>
      <c r="C40" s="177" t="s">
        <v>196</v>
      </c>
      <c r="D40" s="177" t="s">
        <v>197</v>
      </c>
      <c r="E40" s="178">
        <v>36</v>
      </c>
      <c r="F40" s="179">
        <v>4391.5</v>
      </c>
      <c r="G40" s="180">
        <v>4.391</v>
      </c>
      <c r="H40" s="181" t="s">
        <v>198</v>
      </c>
      <c r="I40" s="177">
        <v>824</v>
      </c>
      <c r="J40" s="178">
        <v>0</v>
      </c>
      <c r="K40" s="182">
        <v>1</v>
      </c>
      <c r="L40" s="179">
        <v>378</v>
      </c>
      <c r="M40" s="178">
        <v>0</v>
      </c>
      <c r="N40" s="182">
        <v>1</v>
      </c>
      <c r="O40" s="181" t="s">
        <v>273</v>
      </c>
      <c r="P40" s="181" t="s">
        <v>200</v>
      </c>
      <c r="Q40" s="183" t="s">
        <v>201</v>
      </c>
      <c r="R40" s="183">
        <v>1</v>
      </c>
      <c r="S40" s="180">
        <v>30.285281999999999</v>
      </c>
      <c r="T40" s="174">
        <v>-97.715034000000003</v>
      </c>
      <c r="U40" s="175"/>
      <c r="V40" s="175" t="s">
        <v>274</v>
      </c>
      <c r="W40" s="226"/>
    </row>
    <row r="41" spans="2:23" ht="15.75" customHeight="1" x14ac:dyDescent="0.2">
      <c r="B41" s="158">
        <v>37</v>
      </c>
      <c r="C41" s="159" t="s">
        <v>196</v>
      </c>
      <c r="D41" s="159" t="s">
        <v>197</v>
      </c>
      <c r="E41" s="160">
        <v>37</v>
      </c>
      <c r="F41" s="161">
        <v>4391.5</v>
      </c>
      <c r="G41" s="162">
        <v>4.391</v>
      </c>
      <c r="H41" s="163" t="s">
        <v>198</v>
      </c>
      <c r="I41" s="159">
        <v>824</v>
      </c>
      <c r="J41" s="160">
        <v>0</v>
      </c>
      <c r="K41" s="164">
        <v>1</v>
      </c>
      <c r="L41" s="161">
        <v>394</v>
      </c>
      <c r="M41" s="160">
        <v>0</v>
      </c>
      <c r="N41" s="164">
        <v>1</v>
      </c>
      <c r="O41" s="163" t="s">
        <v>275</v>
      </c>
      <c r="P41" s="163" t="s">
        <v>200</v>
      </c>
      <c r="Q41" s="165" t="s">
        <v>201</v>
      </c>
      <c r="R41" s="165">
        <v>1</v>
      </c>
      <c r="S41" s="162">
        <v>30.285281999999999</v>
      </c>
      <c r="T41" s="162">
        <v>-97.715034000000003</v>
      </c>
      <c r="U41" s="163"/>
      <c r="V41" s="163" t="s">
        <v>276</v>
      </c>
      <c r="W41" s="226"/>
    </row>
    <row r="42" spans="2:23" ht="15.75" customHeight="1" x14ac:dyDescent="0.2">
      <c r="B42" s="176">
        <v>38</v>
      </c>
      <c r="C42" s="177" t="s">
        <v>196</v>
      </c>
      <c r="D42" s="177" t="s">
        <v>197</v>
      </c>
      <c r="E42" s="178">
        <v>38</v>
      </c>
      <c r="F42" s="179">
        <v>4391.5</v>
      </c>
      <c r="G42" s="180">
        <v>4.391</v>
      </c>
      <c r="H42" s="181" t="s">
        <v>198</v>
      </c>
      <c r="I42" s="177">
        <v>799</v>
      </c>
      <c r="J42" s="178">
        <v>0</v>
      </c>
      <c r="K42" s="182">
        <v>1</v>
      </c>
      <c r="L42" s="179">
        <v>378</v>
      </c>
      <c r="M42" s="178">
        <v>0</v>
      </c>
      <c r="N42" s="182">
        <v>1</v>
      </c>
      <c r="O42" s="181" t="s">
        <v>277</v>
      </c>
      <c r="P42" s="181" t="s">
        <v>200</v>
      </c>
      <c r="Q42" s="183" t="s">
        <v>201</v>
      </c>
      <c r="R42" s="183">
        <v>1</v>
      </c>
      <c r="S42" s="180">
        <v>30.285281999999999</v>
      </c>
      <c r="T42" s="174">
        <v>-97.715034000000003</v>
      </c>
      <c r="U42" s="175"/>
      <c r="V42" s="175" t="s">
        <v>278</v>
      </c>
      <c r="W42" s="226"/>
    </row>
    <row r="43" spans="2:23" ht="15.75" customHeight="1" x14ac:dyDescent="0.2">
      <c r="B43" s="158">
        <v>39</v>
      </c>
      <c r="C43" s="159" t="s">
        <v>196</v>
      </c>
      <c r="D43" s="159" t="s">
        <v>197</v>
      </c>
      <c r="E43" s="160">
        <v>39</v>
      </c>
      <c r="F43" s="161">
        <v>4391.5</v>
      </c>
      <c r="G43" s="162">
        <v>4.391</v>
      </c>
      <c r="H43" s="163" t="s">
        <v>198</v>
      </c>
      <c r="I43" s="159">
        <v>824</v>
      </c>
      <c r="J43" s="160">
        <v>0</v>
      </c>
      <c r="K43" s="164">
        <v>1</v>
      </c>
      <c r="L43" s="161">
        <v>378</v>
      </c>
      <c r="M43" s="160">
        <v>0</v>
      </c>
      <c r="N43" s="164">
        <v>1</v>
      </c>
      <c r="O43" s="163" t="s">
        <v>279</v>
      </c>
      <c r="P43" s="163" t="s">
        <v>200</v>
      </c>
      <c r="Q43" s="165" t="s">
        <v>201</v>
      </c>
      <c r="R43" s="165">
        <v>1</v>
      </c>
      <c r="S43" s="162">
        <v>30.285281999999999</v>
      </c>
      <c r="T43" s="162">
        <v>-97.715034000000003</v>
      </c>
      <c r="U43" s="163"/>
      <c r="V43" s="163" t="s">
        <v>280</v>
      </c>
      <c r="W43" s="226"/>
    </row>
    <row r="44" spans="2:23" ht="16.5" customHeight="1" x14ac:dyDescent="0.2">
      <c r="B44" s="176">
        <v>40</v>
      </c>
      <c r="C44" s="177" t="s">
        <v>196</v>
      </c>
      <c r="D44" s="177" t="s">
        <v>197</v>
      </c>
      <c r="E44" s="178">
        <v>40</v>
      </c>
      <c r="F44" s="179">
        <v>4391.5</v>
      </c>
      <c r="G44" s="180">
        <v>4.391</v>
      </c>
      <c r="H44" s="181" t="s">
        <v>198</v>
      </c>
      <c r="I44" s="177">
        <v>799</v>
      </c>
      <c r="J44" s="178">
        <v>0</v>
      </c>
      <c r="K44" s="182">
        <v>1</v>
      </c>
      <c r="L44" s="179">
        <v>378</v>
      </c>
      <c r="M44" s="178">
        <v>0</v>
      </c>
      <c r="N44" s="182">
        <v>1</v>
      </c>
      <c r="O44" s="181" t="s">
        <v>281</v>
      </c>
      <c r="P44" s="181" t="s">
        <v>200</v>
      </c>
      <c r="Q44" s="183" t="s">
        <v>201</v>
      </c>
      <c r="R44" s="183">
        <v>1</v>
      </c>
      <c r="S44" s="180">
        <v>30.285281999999999</v>
      </c>
      <c r="T44" s="174">
        <v>-97.715034000000003</v>
      </c>
      <c r="U44" s="175"/>
      <c r="V44" s="175" t="s">
        <v>282</v>
      </c>
      <c r="W44" s="226"/>
    </row>
    <row r="45" spans="2:23" ht="16.5" customHeight="1" x14ac:dyDescent="0.2">
      <c r="B45" s="158">
        <v>41</v>
      </c>
      <c r="C45" s="159" t="s">
        <v>196</v>
      </c>
      <c r="D45" s="159" t="s">
        <v>197</v>
      </c>
      <c r="E45" s="160">
        <v>41</v>
      </c>
      <c r="F45" s="161">
        <v>7386.6</v>
      </c>
      <c r="G45" s="162">
        <v>7.3869999999999996</v>
      </c>
      <c r="H45" s="163" t="s">
        <v>198</v>
      </c>
      <c r="I45" s="159">
        <v>795</v>
      </c>
      <c r="J45" s="160">
        <v>0</v>
      </c>
      <c r="K45" s="164">
        <v>1</v>
      </c>
      <c r="L45" s="161">
        <v>437</v>
      </c>
      <c r="M45" s="160">
        <v>0</v>
      </c>
      <c r="N45" s="164">
        <v>1</v>
      </c>
      <c r="O45" s="163" t="s">
        <v>283</v>
      </c>
      <c r="P45" s="163" t="s">
        <v>221</v>
      </c>
      <c r="Q45" s="165" t="s">
        <v>201</v>
      </c>
      <c r="R45" s="165">
        <v>1</v>
      </c>
      <c r="S45" s="162">
        <v>30.260663999999998</v>
      </c>
      <c r="T45" s="162">
        <v>-97.698363999999998</v>
      </c>
      <c r="U45" s="163"/>
      <c r="V45" s="163" t="s">
        <v>284</v>
      </c>
      <c r="W45" s="226"/>
    </row>
    <row r="46" spans="2:23" ht="15.75" customHeight="1" x14ac:dyDescent="0.2">
      <c r="B46" s="176">
        <v>42</v>
      </c>
      <c r="C46" s="177" t="s">
        <v>196</v>
      </c>
      <c r="D46" s="177" t="s">
        <v>197</v>
      </c>
      <c r="E46" s="178">
        <v>42</v>
      </c>
      <c r="F46" s="179">
        <v>7839.1</v>
      </c>
      <c r="G46" s="180">
        <v>7.8390000000000004</v>
      </c>
      <c r="H46" s="181" t="s">
        <v>198</v>
      </c>
      <c r="I46" s="177">
        <v>669</v>
      </c>
      <c r="J46" s="178">
        <v>0</v>
      </c>
      <c r="K46" s="182">
        <v>1</v>
      </c>
      <c r="L46" s="179">
        <v>250</v>
      </c>
      <c r="M46" s="178">
        <v>0</v>
      </c>
      <c r="N46" s="182">
        <v>1</v>
      </c>
      <c r="O46" s="181" t="s">
        <v>285</v>
      </c>
      <c r="P46" s="181" t="s">
        <v>200</v>
      </c>
      <c r="Q46" s="183" t="s">
        <v>201</v>
      </c>
      <c r="R46" s="183">
        <v>1</v>
      </c>
      <c r="S46" s="180">
        <v>30.241095000000001</v>
      </c>
      <c r="T46" s="174">
        <v>-97.725905999999995</v>
      </c>
      <c r="U46" s="175"/>
      <c r="V46" s="175" t="s">
        <v>286</v>
      </c>
      <c r="W46" s="226"/>
    </row>
    <row r="47" spans="2:23" ht="15.75" customHeight="1" x14ac:dyDescent="0.2">
      <c r="B47" s="158">
        <v>43</v>
      </c>
      <c r="C47" s="159" t="s">
        <v>196</v>
      </c>
      <c r="D47" s="159" t="s">
        <v>197</v>
      </c>
      <c r="E47" s="160">
        <v>43</v>
      </c>
      <c r="F47" s="161">
        <v>7839.1</v>
      </c>
      <c r="G47" s="162">
        <v>7.8390000000000004</v>
      </c>
      <c r="H47" s="163" t="s">
        <v>198</v>
      </c>
      <c r="I47" s="159">
        <v>669</v>
      </c>
      <c r="J47" s="160">
        <v>0</v>
      </c>
      <c r="K47" s="164">
        <v>1</v>
      </c>
      <c r="L47" s="161">
        <v>250</v>
      </c>
      <c r="M47" s="160">
        <v>0</v>
      </c>
      <c r="N47" s="164">
        <v>1</v>
      </c>
      <c r="O47" s="163" t="s">
        <v>287</v>
      </c>
      <c r="P47" s="163" t="s">
        <v>200</v>
      </c>
      <c r="Q47" s="165" t="s">
        <v>201</v>
      </c>
      <c r="R47" s="165">
        <v>1</v>
      </c>
      <c r="S47" s="162">
        <v>30.241095000000001</v>
      </c>
      <c r="T47" s="162">
        <v>-97.725905999999995</v>
      </c>
      <c r="U47" s="163"/>
      <c r="V47" s="163" t="s">
        <v>288</v>
      </c>
      <c r="W47" s="226"/>
    </row>
    <row r="48" spans="2:23" ht="16.5" customHeight="1" x14ac:dyDescent="0.2">
      <c r="B48" s="176">
        <v>44</v>
      </c>
      <c r="C48" s="177" t="s">
        <v>196</v>
      </c>
      <c r="D48" s="177" t="s">
        <v>197</v>
      </c>
      <c r="E48" s="178">
        <v>44</v>
      </c>
      <c r="F48" s="179">
        <v>7839.1</v>
      </c>
      <c r="G48" s="180">
        <v>7.8390000000000004</v>
      </c>
      <c r="H48" s="181" t="s">
        <v>198</v>
      </c>
      <c r="I48" s="177">
        <v>1019</v>
      </c>
      <c r="J48" s="178">
        <v>0</v>
      </c>
      <c r="K48" s="182">
        <v>1</v>
      </c>
      <c r="L48" s="179">
        <v>434</v>
      </c>
      <c r="M48" s="178">
        <v>0</v>
      </c>
      <c r="N48" s="182">
        <v>1</v>
      </c>
      <c r="O48" s="181" t="s">
        <v>289</v>
      </c>
      <c r="P48" s="181" t="s">
        <v>200</v>
      </c>
      <c r="Q48" s="183" t="s">
        <v>201</v>
      </c>
      <c r="R48" s="183">
        <v>1</v>
      </c>
      <c r="S48" s="180">
        <v>30.241095000000001</v>
      </c>
      <c r="T48" s="174">
        <v>-97.725905999999995</v>
      </c>
      <c r="U48" s="175"/>
      <c r="V48" s="175" t="s">
        <v>290</v>
      </c>
      <c r="W48" s="226"/>
    </row>
    <row r="49" spans="2:23" ht="15.75" customHeight="1" x14ac:dyDescent="0.2">
      <c r="B49" s="158">
        <v>45</v>
      </c>
      <c r="C49" s="159" t="s">
        <v>196</v>
      </c>
      <c r="D49" s="159" t="s">
        <v>197</v>
      </c>
      <c r="E49" s="160">
        <v>45</v>
      </c>
      <c r="F49" s="161">
        <v>7854.3</v>
      </c>
      <c r="G49" s="162">
        <v>7.8540000000000001</v>
      </c>
      <c r="H49" s="163" t="s">
        <v>198</v>
      </c>
      <c r="I49" s="159">
        <v>999</v>
      </c>
      <c r="J49" s="160">
        <v>0</v>
      </c>
      <c r="K49" s="164">
        <v>1</v>
      </c>
      <c r="L49" s="161">
        <v>516</v>
      </c>
      <c r="M49" s="160">
        <v>0</v>
      </c>
      <c r="N49" s="164">
        <v>1</v>
      </c>
      <c r="O49" s="163" t="s">
        <v>291</v>
      </c>
      <c r="P49" s="163" t="s">
        <v>200</v>
      </c>
      <c r="Q49" s="165" t="s">
        <v>201</v>
      </c>
      <c r="R49" s="165">
        <v>1</v>
      </c>
      <c r="S49" s="162">
        <v>30.240974999999999</v>
      </c>
      <c r="T49" s="162">
        <v>-97.725823000000005</v>
      </c>
      <c r="U49" s="163"/>
      <c r="V49" s="163" t="s">
        <v>292</v>
      </c>
      <c r="W49" s="226"/>
    </row>
    <row r="50" spans="2:23" ht="15.75" customHeight="1" x14ac:dyDescent="0.2">
      <c r="B50" s="176">
        <v>46</v>
      </c>
      <c r="C50" s="177" t="s">
        <v>196</v>
      </c>
      <c r="D50" s="177" t="s">
        <v>197</v>
      </c>
      <c r="E50" s="178">
        <v>46</v>
      </c>
      <c r="F50" s="179">
        <v>8148.3</v>
      </c>
      <c r="G50" s="180">
        <v>8.1479999999999997</v>
      </c>
      <c r="H50" s="181" t="s">
        <v>198</v>
      </c>
      <c r="I50" s="177">
        <v>669</v>
      </c>
      <c r="J50" s="178">
        <v>0</v>
      </c>
      <c r="K50" s="182">
        <v>1</v>
      </c>
      <c r="L50" s="179">
        <v>250</v>
      </c>
      <c r="M50" s="178">
        <v>0</v>
      </c>
      <c r="N50" s="182">
        <v>1</v>
      </c>
      <c r="O50" s="181" t="s">
        <v>293</v>
      </c>
      <c r="P50" s="181" t="s">
        <v>200</v>
      </c>
      <c r="Q50" s="183" t="s">
        <v>201</v>
      </c>
      <c r="R50" s="183">
        <v>1</v>
      </c>
      <c r="S50" s="180">
        <v>30.239457999999999</v>
      </c>
      <c r="T50" s="174">
        <v>-97.721748000000005</v>
      </c>
      <c r="U50" s="175"/>
      <c r="V50" s="175" t="s">
        <v>294</v>
      </c>
      <c r="W50" s="226"/>
    </row>
    <row r="51" spans="2:23" ht="15.75" customHeight="1" x14ac:dyDescent="0.2">
      <c r="B51" s="158">
        <v>47</v>
      </c>
      <c r="C51" s="159" t="s">
        <v>196</v>
      </c>
      <c r="D51" s="159" t="s">
        <v>197</v>
      </c>
      <c r="E51" s="160">
        <v>47</v>
      </c>
      <c r="F51" s="161">
        <v>8148.3</v>
      </c>
      <c r="G51" s="162">
        <v>8.1479999999999997</v>
      </c>
      <c r="H51" s="163" t="s">
        <v>198</v>
      </c>
      <c r="I51" s="159">
        <v>669</v>
      </c>
      <c r="J51" s="160">
        <v>0</v>
      </c>
      <c r="K51" s="164">
        <v>1</v>
      </c>
      <c r="L51" s="161">
        <v>250</v>
      </c>
      <c r="M51" s="160">
        <v>0</v>
      </c>
      <c r="N51" s="164">
        <v>1</v>
      </c>
      <c r="O51" s="163" t="s">
        <v>295</v>
      </c>
      <c r="P51" s="163" t="s">
        <v>200</v>
      </c>
      <c r="Q51" s="165" t="s">
        <v>201</v>
      </c>
      <c r="R51" s="165">
        <v>1</v>
      </c>
      <c r="S51" s="162">
        <v>30.239457999999999</v>
      </c>
      <c r="T51" s="162">
        <v>-97.721748000000005</v>
      </c>
      <c r="U51" s="163"/>
      <c r="V51" s="163" t="s">
        <v>296</v>
      </c>
      <c r="W51" s="226"/>
    </row>
    <row r="52" spans="2:23" ht="16.5" customHeight="1" x14ac:dyDescent="0.2">
      <c r="B52" s="176">
        <v>48</v>
      </c>
      <c r="C52" s="177" t="s">
        <v>196</v>
      </c>
      <c r="D52" s="177" t="s">
        <v>197</v>
      </c>
      <c r="E52" s="178">
        <v>48</v>
      </c>
      <c r="F52" s="179">
        <v>8155.7</v>
      </c>
      <c r="G52" s="180">
        <v>8.1560000000000006</v>
      </c>
      <c r="H52" s="181" t="s">
        <v>198</v>
      </c>
      <c r="I52" s="177">
        <v>1019</v>
      </c>
      <c r="J52" s="178">
        <v>0</v>
      </c>
      <c r="K52" s="182">
        <v>1</v>
      </c>
      <c r="L52" s="179">
        <v>434</v>
      </c>
      <c r="M52" s="178">
        <v>0</v>
      </c>
      <c r="N52" s="182">
        <v>1</v>
      </c>
      <c r="O52" s="181" t="s">
        <v>297</v>
      </c>
      <c r="P52" s="181" t="s">
        <v>200</v>
      </c>
      <c r="Q52" s="183" t="s">
        <v>201</v>
      </c>
      <c r="R52" s="183">
        <v>1</v>
      </c>
      <c r="S52" s="180">
        <v>30.239395999999999</v>
      </c>
      <c r="T52" s="174">
        <v>-97.721721000000002</v>
      </c>
      <c r="U52" s="175"/>
      <c r="V52" s="175" t="s">
        <v>298</v>
      </c>
      <c r="W52" s="226"/>
    </row>
    <row r="53" spans="2:23" ht="15.75" customHeight="1" x14ac:dyDescent="0.2">
      <c r="B53" s="158">
        <v>49</v>
      </c>
      <c r="C53" s="159" t="s">
        <v>196</v>
      </c>
      <c r="D53" s="159" t="s">
        <v>197</v>
      </c>
      <c r="E53" s="160">
        <v>49</v>
      </c>
      <c r="F53" s="161">
        <v>9183.6</v>
      </c>
      <c r="G53" s="162">
        <v>9.1839999999999993</v>
      </c>
      <c r="H53" s="163" t="s">
        <v>198</v>
      </c>
      <c r="I53" s="159">
        <v>2000</v>
      </c>
      <c r="J53" s="160">
        <v>0</v>
      </c>
      <c r="K53" s="164">
        <v>1</v>
      </c>
      <c r="L53" s="161">
        <v>1200</v>
      </c>
      <c r="M53" s="160">
        <v>0</v>
      </c>
      <c r="N53" s="164">
        <v>1</v>
      </c>
      <c r="O53" s="163" t="s">
        <v>299</v>
      </c>
      <c r="P53" s="163" t="s">
        <v>221</v>
      </c>
      <c r="Q53" s="165" t="s">
        <v>201</v>
      </c>
      <c r="R53" s="165">
        <v>1</v>
      </c>
      <c r="S53" s="162">
        <v>30.350815000000001</v>
      </c>
      <c r="T53" s="162">
        <v>-97.671097000000003</v>
      </c>
      <c r="U53" s="163"/>
      <c r="V53" s="163" t="s">
        <v>300</v>
      </c>
      <c r="W53" s="226"/>
    </row>
    <row r="54" spans="2:23" ht="15.75" customHeight="1" x14ac:dyDescent="0.2">
      <c r="B54" s="176">
        <v>50</v>
      </c>
      <c r="C54" s="177" t="s">
        <v>196</v>
      </c>
      <c r="D54" s="177" t="s">
        <v>197</v>
      </c>
      <c r="E54" s="178">
        <v>50</v>
      </c>
      <c r="F54" s="179">
        <v>10557.6</v>
      </c>
      <c r="G54" s="180">
        <v>10.558</v>
      </c>
      <c r="H54" s="181" t="s">
        <v>198</v>
      </c>
      <c r="I54" s="177">
        <v>750</v>
      </c>
      <c r="J54" s="178">
        <v>0</v>
      </c>
      <c r="K54" s="182">
        <v>1</v>
      </c>
      <c r="L54" s="179">
        <v>470</v>
      </c>
      <c r="M54" s="178">
        <v>0</v>
      </c>
      <c r="N54" s="182">
        <v>1</v>
      </c>
      <c r="O54" s="181" t="s">
        <v>301</v>
      </c>
      <c r="P54" s="181" t="s">
        <v>221</v>
      </c>
      <c r="Q54" s="183" t="s">
        <v>201</v>
      </c>
      <c r="R54" s="183">
        <v>1</v>
      </c>
      <c r="S54" s="180">
        <v>30.223253</v>
      </c>
      <c r="T54" s="174">
        <v>-97.802977999999996</v>
      </c>
      <c r="U54" s="175"/>
      <c r="V54" s="175" t="s">
        <v>302</v>
      </c>
      <c r="W54" s="226"/>
    </row>
    <row r="55" spans="2:23" ht="15.75" customHeight="1" x14ac:dyDescent="0.2">
      <c r="B55" s="158">
        <v>51</v>
      </c>
      <c r="C55" s="159" t="s">
        <v>196</v>
      </c>
      <c r="D55" s="159" t="s">
        <v>197</v>
      </c>
      <c r="E55" s="160">
        <v>1</v>
      </c>
      <c r="F55" s="161">
        <v>1928</v>
      </c>
      <c r="G55" s="162">
        <v>1.9279999999999999</v>
      </c>
      <c r="H55" s="163" t="s">
        <v>303</v>
      </c>
      <c r="I55" s="159">
        <v>1400</v>
      </c>
      <c r="J55" s="160">
        <v>1</v>
      </c>
      <c r="K55" s="164">
        <v>1</v>
      </c>
      <c r="L55" s="161">
        <v>450</v>
      </c>
      <c r="M55" s="160">
        <v>1</v>
      </c>
      <c r="N55" s="164">
        <v>1</v>
      </c>
      <c r="O55" s="163" t="s">
        <v>304</v>
      </c>
      <c r="P55" s="163" t="s">
        <v>221</v>
      </c>
      <c r="Q55" s="165" t="s">
        <v>201</v>
      </c>
      <c r="R55" s="165">
        <v>1</v>
      </c>
      <c r="S55" s="162">
        <v>30.294001000000002</v>
      </c>
      <c r="T55" s="162">
        <v>-97.740371999999994</v>
      </c>
      <c r="U55" s="163"/>
      <c r="V55" s="163" t="s">
        <v>305</v>
      </c>
      <c r="W55" s="226"/>
    </row>
    <row r="56" spans="2:23" ht="16.5" customHeight="1" x14ac:dyDescent="0.2">
      <c r="B56" s="176">
        <v>52</v>
      </c>
      <c r="C56" s="177" t="s">
        <v>196</v>
      </c>
      <c r="D56" s="177" t="s">
        <v>197</v>
      </c>
      <c r="E56" s="178">
        <v>2</v>
      </c>
      <c r="F56" s="179">
        <v>1928</v>
      </c>
      <c r="G56" s="180">
        <v>1.9279999999999999</v>
      </c>
      <c r="H56" s="181" t="s">
        <v>303</v>
      </c>
      <c r="I56" s="177">
        <v>1000</v>
      </c>
      <c r="J56" s="178">
        <v>1</v>
      </c>
      <c r="K56" s="182">
        <v>1</v>
      </c>
      <c r="L56" s="179">
        <v>450</v>
      </c>
      <c r="M56" s="178">
        <v>1</v>
      </c>
      <c r="N56" s="182">
        <v>1</v>
      </c>
      <c r="O56" s="181" t="s">
        <v>306</v>
      </c>
      <c r="P56" s="181" t="s">
        <v>204</v>
      </c>
      <c r="Q56" s="183" t="s">
        <v>201</v>
      </c>
      <c r="R56" s="183">
        <v>1</v>
      </c>
      <c r="S56" s="180">
        <v>30.294001000000002</v>
      </c>
      <c r="T56" s="174">
        <v>-97.740371999999994</v>
      </c>
      <c r="U56" s="175"/>
      <c r="V56" s="175" t="s">
        <v>307</v>
      </c>
      <c r="W56" s="226"/>
    </row>
    <row r="57" spans="2:23" ht="15.75" customHeight="1" x14ac:dyDescent="0.2">
      <c r="B57" s="158">
        <v>53</v>
      </c>
      <c r="C57" s="159" t="s">
        <v>196</v>
      </c>
      <c r="D57" s="159" t="s">
        <v>197</v>
      </c>
      <c r="E57" s="160">
        <v>3</v>
      </c>
      <c r="F57" s="161">
        <v>1932.7</v>
      </c>
      <c r="G57" s="162">
        <v>1.9330000000000001</v>
      </c>
      <c r="H57" s="163" t="s">
        <v>303</v>
      </c>
      <c r="I57" s="159">
        <v>1150</v>
      </c>
      <c r="J57" s="160">
        <v>1</v>
      </c>
      <c r="K57" s="164">
        <v>1</v>
      </c>
      <c r="L57" s="161">
        <v>450</v>
      </c>
      <c r="M57" s="160">
        <v>1</v>
      </c>
      <c r="N57" s="164">
        <v>1</v>
      </c>
      <c r="O57" s="163" t="s">
        <v>308</v>
      </c>
      <c r="P57" s="163" t="s">
        <v>204</v>
      </c>
      <c r="Q57" s="165" t="s">
        <v>201</v>
      </c>
      <c r="R57" s="165">
        <v>1</v>
      </c>
      <c r="S57" s="162">
        <v>30.293742000000002</v>
      </c>
      <c r="T57" s="162">
        <v>-97.740685999999997</v>
      </c>
      <c r="U57" s="163"/>
      <c r="V57" s="163" t="s">
        <v>309</v>
      </c>
      <c r="W57" s="226"/>
    </row>
    <row r="58" spans="2:23" ht="15.75" customHeight="1" x14ac:dyDescent="0.2">
      <c r="B58" s="176">
        <v>54</v>
      </c>
      <c r="C58" s="177" t="s">
        <v>196</v>
      </c>
      <c r="D58" s="177" t="s">
        <v>197</v>
      </c>
      <c r="E58" s="178">
        <v>4</v>
      </c>
      <c r="F58" s="179">
        <v>1932.7</v>
      </c>
      <c r="G58" s="180">
        <v>1.9330000000000001</v>
      </c>
      <c r="H58" s="181" t="s">
        <v>303</v>
      </c>
      <c r="I58" s="177">
        <v>900</v>
      </c>
      <c r="J58" s="178">
        <v>1</v>
      </c>
      <c r="K58" s="182">
        <v>1</v>
      </c>
      <c r="L58" s="179">
        <v>450</v>
      </c>
      <c r="M58" s="178">
        <v>1</v>
      </c>
      <c r="N58" s="182">
        <v>1</v>
      </c>
      <c r="O58" s="181" t="s">
        <v>310</v>
      </c>
      <c r="P58" s="181" t="s">
        <v>204</v>
      </c>
      <c r="Q58" s="183" t="s">
        <v>201</v>
      </c>
      <c r="R58" s="183">
        <v>1</v>
      </c>
      <c r="S58" s="180">
        <v>30.293742000000002</v>
      </c>
      <c r="T58" s="174">
        <v>-97.740685999999997</v>
      </c>
      <c r="U58" s="175"/>
      <c r="V58" s="175" t="s">
        <v>311</v>
      </c>
      <c r="W58" s="226"/>
    </row>
    <row r="59" spans="2:23" ht="15.75" customHeight="1" x14ac:dyDescent="0.2">
      <c r="B59" s="158">
        <v>55</v>
      </c>
      <c r="C59" s="159" t="s">
        <v>196</v>
      </c>
      <c r="D59" s="159" t="s">
        <v>197</v>
      </c>
      <c r="E59" s="160">
        <v>5</v>
      </c>
      <c r="F59" s="161">
        <v>1940.1</v>
      </c>
      <c r="G59" s="162">
        <v>1.94</v>
      </c>
      <c r="H59" s="163" t="s">
        <v>303</v>
      </c>
      <c r="I59" s="159">
        <v>1125</v>
      </c>
      <c r="J59" s="160">
        <v>1</v>
      </c>
      <c r="K59" s="164">
        <v>1</v>
      </c>
      <c r="L59" s="161">
        <v>450</v>
      </c>
      <c r="M59" s="160">
        <v>1</v>
      </c>
      <c r="N59" s="164">
        <v>1</v>
      </c>
      <c r="O59" s="163" t="s">
        <v>312</v>
      </c>
      <c r="P59" s="163" t="s">
        <v>204</v>
      </c>
      <c r="Q59" s="165" t="s">
        <v>201</v>
      </c>
      <c r="R59" s="165">
        <v>1</v>
      </c>
      <c r="S59" s="162">
        <v>30.293807999999999</v>
      </c>
      <c r="T59" s="162">
        <v>-97.740455999999995</v>
      </c>
      <c r="U59" s="163"/>
      <c r="V59" s="163" t="s">
        <v>313</v>
      </c>
      <c r="W59" s="226"/>
    </row>
    <row r="60" spans="2:23" ht="16.5" customHeight="1" x14ac:dyDescent="0.2">
      <c r="B60" s="176">
        <v>56</v>
      </c>
      <c r="C60" s="177" t="s">
        <v>196</v>
      </c>
      <c r="D60" s="177" t="s">
        <v>197</v>
      </c>
      <c r="E60" s="178">
        <v>6</v>
      </c>
      <c r="F60" s="179">
        <v>1956.5</v>
      </c>
      <c r="G60" s="180">
        <v>1.956</v>
      </c>
      <c r="H60" s="181" t="s">
        <v>303</v>
      </c>
      <c r="I60" s="177">
        <v>1200</v>
      </c>
      <c r="J60" s="178">
        <v>1</v>
      </c>
      <c r="K60" s="182">
        <v>1</v>
      </c>
      <c r="L60" s="179">
        <v>450</v>
      </c>
      <c r="M60" s="178">
        <v>1</v>
      </c>
      <c r="N60" s="182">
        <v>1</v>
      </c>
      <c r="O60" s="181" t="s">
        <v>314</v>
      </c>
      <c r="P60" s="181" t="s">
        <v>204</v>
      </c>
      <c r="Q60" s="183" t="s">
        <v>201</v>
      </c>
      <c r="R60" s="183">
        <v>1</v>
      </c>
      <c r="S60" s="180">
        <v>30.293489000000001</v>
      </c>
      <c r="T60" s="174">
        <v>-97.740665000000007</v>
      </c>
      <c r="U60" s="175"/>
      <c r="V60" s="175" t="s">
        <v>315</v>
      </c>
      <c r="W60" s="226"/>
    </row>
    <row r="61" spans="2:23" ht="16.5" customHeight="1" x14ac:dyDescent="0.2">
      <c r="B61" s="158">
        <v>57</v>
      </c>
      <c r="C61" s="159" t="s">
        <v>196</v>
      </c>
      <c r="D61" s="159" t="s">
        <v>197</v>
      </c>
      <c r="E61" s="160">
        <v>7</v>
      </c>
      <c r="F61" s="161">
        <v>1956.5</v>
      </c>
      <c r="G61" s="162">
        <v>1.956</v>
      </c>
      <c r="H61" s="163" t="s">
        <v>303</v>
      </c>
      <c r="I61" s="159">
        <v>1025</v>
      </c>
      <c r="J61" s="160">
        <v>1</v>
      </c>
      <c r="K61" s="164">
        <v>1</v>
      </c>
      <c r="L61" s="161">
        <v>450</v>
      </c>
      <c r="M61" s="160">
        <v>1</v>
      </c>
      <c r="N61" s="164">
        <v>1</v>
      </c>
      <c r="O61" s="163" t="s">
        <v>316</v>
      </c>
      <c r="P61" s="163" t="s">
        <v>204</v>
      </c>
      <c r="Q61" s="165" t="s">
        <v>201</v>
      </c>
      <c r="R61" s="165">
        <v>1</v>
      </c>
      <c r="S61" s="162">
        <v>30.293489000000001</v>
      </c>
      <c r="T61" s="162">
        <v>-97.740665000000007</v>
      </c>
      <c r="U61" s="163"/>
      <c r="V61" s="163" t="s">
        <v>317</v>
      </c>
      <c r="W61" s="226"/>
    </row>
    <row r="62" spans="2:23" ht="15.75" customHeight="1" x14ac:dyDescent="0.2">
      <c r="B62" s="176">
        <v>58</v>
      </c>
      <c r="C62" s="177" t="s">
        <v>196</v>
      </c>
      <c r="D62" s="177" t="s">
        <v>197</v>
      </c>
      <c r="E62" s="178">
        <v>8</v>
      </c>
      <c r="F62" s="179">
        <v>1981.3</v>
      </c>
      <c r="G62" s="180">
        <v>1.9810000000000001</v>
      </c>
      <c r="H62" s="181" t="s">
        <v>303</v>
      </c>
      <c r="I62" s="177">
        <v>875</v>
      </c>
      <c r="J62" s="178">
        <v>1</v>
      </c>
      <c r="K62" s="182">
        <v>1</v>
      </c>
      <c r="L62" s="179">
        <v>480</v>
      </c>
      <c r="M62" s="178">
        <v>1</v>
      </c>
      <c r="N62" s="182">
        <v>1</v>
      </c>
      <c r="O62" s="181" t="s">
        <v>318</v>
      </c>
      <c r="P62" s="181" t="s">
        <v>200</v>
      </c>
      <c r="Q62" s="183" t="s">
        <v>201</v>
      </c>
      <c r="R62" s="183">
        <v>1</v>
      </c>
      <c r="S62" s="180">
        <v>30.301576000000001</v>
      </c>
      <c r="T62" s="174">
        <v>-97.733315000000005</v>
      </c>
      <c r="U62" s="175"/>
      <c r="V62" s="175" t="s">
        <v>319</v>
      </c>
      <c r="W62" s="226"/>
    </row>
    <row r="63" spans="2:23" ht="15.75" customHeight="1" x14ac:dyDescent="0.2">
      <c r="B63" s="158">
        <v>59</v>
      </c>
      <c r="C63" s="159" t="s">
        <v>196</v>
      </c>
      <c r="D63" s="159" t="s">
        <v>197</v>
      </c>
      <c r="E63" s="160">
        <v>9</v>
      </c>
      <c r="F63" s="161">
        <v>2049.3000000000002</v>
      </c>
      <c r="G63" s="162">
        <v>2.0489999999999999</v>
      </c>
      <c r="H63" s="163" t="s">
        <v>303</v>
      </c>
      <c r="I63" s="159">
        <v>1095</v>
      </c>
      <c r="J63" s="160">
        <v>1</v>
      </c>
      <c r="K63" s="164">
        <v>1</v>
      </c>
      <c r="L63" s="161">
        <v>500</v>
      </c>
      <c r="M63" s="160">
        <v>1</v>
      </c>
      <c r="N63" s="164">
        <v>1</v>
      </c>
      <c r="O63" s="163" t="s">
        <v>320</v>
      </c>
      <c r="P63" s="163" t="s">
        <v>204</v>
      </c>
      <c r="Q63" s="165" t="s">
        <v>201</v>
      </c>
      <c r="R63" s="165">
        <v>1</v>
      </c>
      <c r="S63" s="162">
        <v>30.290237999999999</v>
      </c>
      <c r="T63" s="162">
        <v>-97.745833000000005</v>
      </c>
      <c r="U63" s="163"/>
      <c r="V63" s="163" t="s">
        <v>321</v>
      </c>
      <c r="W63" s="226"/>
    </row>
    <row r="64" spans="2:23" ht="16.5" customHeight="1" x14ac:dyDescent="0.2">
      <c r="B64" s="176">
        <v>60</v>
      </c>
      <c r="C64" s="177" t="s">
        <v>196</v>
      </c>
      <c r="D64" s="177" t="s">
        <v>197</v>
      </c>
      <c r="E64" s="178">
        <v>10</v>
      </c>
      <c r="F64" s="179">
        <v>2176.1</v>
      </c>
      <c r="G64" s="180">
        <v>2.1760000000000002</v>
      </c>
      <c r="H64" s="181" t="s">
        <v>303</v>
      </c>
      <c r="I64" s="177">
        <v>1600</v>
      </c>
      <c r="J64" s="178">
        <v>1</v>
      </c>
      <c r="K64" s="182">
        <v>1</v>
      </c>
      <c r="L64" s="179">
        <v>800</v>
      </c>
      <c r="M64" s="178">
        <v>1</v>
      </c>
      <c r="N64" s="182">
        <v>1</v>
      </c>
      <c r="O64" s="181" t="s">
        <v>322</v>
      </c>
      <c r="P64" s="181" t="s">
        <v>323</v>
      </c>
      <c r="Q64" s="183" t="s">
        <v>201</v>
      </c>
      <c r="R64" s="183">
        <v>1</v>
      </c>
      <c r="S64" s="180">
        <v>30.293897999999999</v>
      </c>
      <c r="T64" s="174">
        <v>-97.736618000000007</v>
      </c>
      <c r="U64" s="175"/>
      <c r="V64" s="175" t="s">
        <v>324</v>
      </c>
      <c r="W64" s="226"/>
    </row>
    <row r="65" spans="2:23" ht="15.75" customHeight="1" x14ac:dyDescent="0.2">
      <c r="B65" s="158">
        <v>61</v>
      </c>
      <c r="C65" s="159" t="s">
        <v>196</v>
      </c>
      <c r="D65" s="159" t="s">
        <v>197</v>
      </c>
      <c r="E65" s="160">
        <v>11</v>
      </c>
      <c r="F65" s="161">
        <v>2189.6</v>
      </c>
      <c r="G65" s="162">
        <v>2.19</v>
      </c>
      <c r="H65" s="163" t="s">
        <v>303</v>
      </c>
      <c r="I65" s="159">
        <v>1100</v>
      </c>
      <c r="J65" s="160">
        <v>1</v>
      </c>
      <c r="K65" s="164">
        <v>1</v>
      </c>
      <c r="L65" s="161">
        <v>500</v>
      </c>
      <c r="M65" s="160">
        <v>1</v>
      </c>
      <c r="N65" s="164">
        <v>1</v>
      </c>
      <c r="O65" s="163" t="s">
        <v>325</v>
      </c>
      <c r="P65" s="163" t="s">
        <v>204</v>
      </c>
      <c r="Q65" s="165" t="s">
        <v>201</v>
      </c>
      <c r="R65" s="165">
        <v>1</v>
      </c>
      <c r="S65" s="162">
        <v>30.288209999999999</v>
      </c>
      <c r="T65" s="162">
        <v>-97.749348999999995</v>
      </c>
      <c r="U65" s="163"/>
      <c r="V65" s="163" t="s">
        <v>326</v>
      </c>
      <c r="W65" s="226"/>
    </row>
    <row r="66" spans="2:23" ht="15.75" customHeight="1" x14ac:dyDescent="0.2">
      <c r="B66" s="176">
        <v>62</v>
      </c>
      <c r="C66" s="177" t="s">
        <v>196</v>
      </c>
      <c r="D66" s="177" t="s">
        <v>197</v>
      </c>
      <c r="E66" s="178">
        <v>12</v>
      </c>
      <c r="F66" s="179">
        <v>2256.8000000000002</v>
      </c>
      <c r="G66" s="180">
        <v>2.2570000000000001</v>
      </c>
      <c r="H66" s="181" t="s">
        <v>303</v>
      </c>
      <c r="I66" s="177">
        <v>1650</v>
      </c>
      <c r="J66" s="178">
        <v>1</v>
      </c>
      <c r="K66" s="182">
        <v>1</v>
      </c>
      <c r="L66" s="179">
        <v>700</v>
      </c>
      <c r="M66" s="178">
        <v>1</v>
      </c>
      <c r="N66" s="182">
        <v>1</v>
      </c>
      <c r="O66" s="181" t="s">
        <v>327</v>
      </c>
      <c r="P66" s="181" t="s">
        <v>323</v>
      </c>
      <c r="Q66" s="183" t="s">
        <v>201</v>
      </c>
      <c r="R66" s="183">
        <v>1</v>
      </c>
      <c r="S66" s="180">
        <v>30.296612</v>
      </c>
      <c r="T66" s="174">
        <v>-97.733001999999999</v>
      </c>
      <c r="U66" s="175"/>
      <c r="V66" s="175" t="s">
        <v>328</v>
      </c>
      <c r="W66" s="226"/>
    </row>
    <row r="67" spans="2:23" ht="15.75" customHeight="1" x14ac:dyDescent="0.2">
      <c r="B67" s="158">
        <v>63</v>
      </c>
      <c r="C67" s="159" t="s">
        <v>196</v>
      </c>
      <c r="D67" s="159" t="s">
        <v>197</v>
      </c>
      <c r="E67" s="160">
        <v>13</v>
      </c>
      <c r="F67" s="161">
        <v>2327.6999999999998</v>
      </c>
      <c r="G67" s="162">
        <v>2.3279999999999998</v>
      </c>
      <c r="H67" s="163" t="s">
        <v>303</v>
      </c>
      <c r="I67" s="159">
        <v>1100</v>
      </c>
      <c r="J67" s="160">
        <v>1</v>
      </c>
      <c r="K67" s="164">
        <v>1</v>
      </c>
      <c r="L67" s="161">
        <v>450</v>
      </c>
      <c r="M67" s="160">
        <v>1</v>
      </c>
      <c r="N67" s="164">
        <v>1</v>
      </c>
      <c r="O67" s="163" t="s">
        <v>329</v>
      </c>
      <c r="P67" s="163" t="s">
        <v>200</v>
      </c>
      <c r="Q67" s="165" t="s">
        <v>201</v>
      </c>
      <c r="R67" s="165">
        <v>1</v>
      </c>
      <c r="S67" s="162">
        <v>30.287006999999999</v>
      </c>
      <c r="T67" s="162">
        <v>-97.748941000000002</v>
      </c>
      <c r="U67" s="163"/>
      <c r="V67" s="163" t="s">
        <v>330</v>
      </c>
      <c r="W67" s="226"/>
    </row>
    <row r="68" spans="2:23" ht="16.5" customHeight="1" x14ac:dyDescent="0.2">
      <c r="B68" s="176">
        <v>64</v>
      </c>
      <c r="C68" s="177" t="s">
        <v>196</v>
      </c>
      <c r="D68" s="177" t="s">
        <v>197</v>
      </c>
      <c r="E68" s="178">
        <v>14</v>
      </c>
      <c r="F68" s="179">
        <v>2402.1</v>
      </c>
      <c r="G68" s="180">
        <v>2.4020000000000001</v>
      </c>
      <c r="H68" s="181" t="s">
        <v>303</v>
      </c>
      <c r="I68" s="177">
        <v>1395</v>
      </c>
      <c r="J68" s="178">
        <v>1</v>
      </c>
      <c r="K68" s="182">
        <v>1</v>
      </c>
      <c r="L68" s="179">
        <v>587</v>
      </c>
      <c r="M68" s="178">
        <v>1</v>
      </c>
      <c r="N68" s="182">
        <v>1</v>
      </c>
      <c r="O68" s="181" t="s">
        <v>331</v>
      </c>
      <c r="P68" s="181" t="s">
        <v>204</v>
      </c>
      <c r="Q68" s="183" t="s">
        <v>201</v>
      </c>
      <c r="R68" s="183">
        <v>1</v>
      </c>
      <c r="S68" s="180">
        <v>30.286501000000001</v>
      </c>
      <c r="T68" s="174">
        <v>-97.747816</v>
      </c>
      <c r="U68" s="175"/>
      <c r="V68" s="175" t="s">
        <v>332</v>
      </c>
      <c r="W68" s="226"/>
    </row>
    <row r="69" spans="2:23" ht="15.75" customHeight="1" x14ac:dyDescent="0.2">
      <c r="B69" s="158">
        <v>65</v>
      </c>
      <c r="C69" s="159" t="s">
        <v>196</v>
      </c>
      <c r="D69" s="159" t="s">
        <v>197</v>
      </c>
      <c r="E69" s="160">
        <v>15</v>
      </c>
      <c r="F69" s="161">
        <v>2430.6</v>
      </c>
      <c r="G69" s="162">
        <v>2.431</v>
      </c>
      <c r="H69" s="163" t="s">
        <v>303</v>
      </c>
      <c r="I69" s="159">
        <v>1400</v>
      </c>
      <c r="J69" s="160">
        <v>1</v>
      </c>
      <c r="K69" s="164">
        <v>1</v>
      </c>
      <c r="L69" s="161">
        <v>504</v>
      </c>
      <c r="M69" s="160">
        <v>1</v>
      </c>
      <c r="N69" s="164">
        <v>1</v>
      </c>
      <c r="O69" s="163" t="s">
        <v>333</v>
      </c>
      <c r="P69" s="163" t="s">
        <v>200</v>
      </c>
      <c r="Q69" s="165" t="s">
        <v>201</v>
      </c>
      <c r="R69" s="165">
        <v>1</v>
      </c>
      <c r="S69" s="162">
        <v>30.285928999999999</v>
      </c>
      <c r="T69" s="162">
        <v>-97.750280000000004</v>
      </c>
      <c r="U69" s="163"/>
      <c r="V69" s="163" t="s">
        <v>334</v>
      </c>
      <c r="W69" s="226"/>
    </row>
    <row r="70" spans="2:23" ht="15.75" customHeight="1" x14ac:dyDescent="0.2">
      <c r="B70" s="176">
        <v>66</v>
      </c>
      <c r="C70" s="177" t="s">
        <v>196</v>
      </c>
      <c r="D70" s="177" t="s">
        <v>197</v>
      </c>
      <c r="E70" s="178">
        <v>16</v>
      </c>
      <c r="F70" s="179">
        <v>3900.2</v>
      </c>
      <c r="G70" s="180">
        <v>3.9</v>
      </c>
      <c r="H70" s="181" t="s">
        <v>303</v>
      </c>
      <c r="I70" s="177">
        <v>1195</v>
      </c>
      <c r="J70" s="178">
        <v>1</v>
      </c>
      <c r="K70" s="182">
        <v>1</v>
      </c>
      <c r="L70" s="179">
        <v>726</v>
      </c>
      <c r="M70" s="178">
        <v>1</v>
      </c>
      <c r="N70" s="182">
        <v>1</v>
      </c>
      <c r="O70" s="181" t="s">
        <v>335</v>
      </c>
      <c r="P70" s="181" t="s">
        <v>221</v>
      </c>
      <c r="Q70" s="183" t="s">
        <v>201</v>
      </c>
      <c r="R70" s="183">
        <v>1</v>
      </c>
      <c r="S70" s="180">
        <v>30.331757</v>
      </c>
      <c r="T70" s="174">
        <v>-97.723145000000002</v>
      </c>
      <c r="U70" s="175"/>
      <c r="V70" s="175" t="s">
        <v>336</v>
      </c>
      <c r="W70" s="226"/>
    </row>
    <row r="71" spans="2:23" ht="15.75" customHeight="1" x14ac:dyDescent="0.2">
      <c r="B71" s="158">
        <v>67</v>
      </c>
      <c r="C71" s="159" t="s">
        <v>196</v>
      </c>
      <c r="D71" s="159" t="s">
        <v>197</v>
      </c>
      <c r="E71" s="160">
        <v>17</v>
      </c>
      <c r="F71" s="161">
        <v>4327.3</v>
      </c>
      <c r="G71" s="162">
        <v>4.327</v>
      </c>
      <c r="H71" s="163" t="s">
        <v>303</v>
      </c>
      <c r="I71" s="159">
        <v>2195</v>
      </c>
      <c r="J71" s="160">
        <v>1</v>
      </c>
      <c r="K71" s="164">
        <v>1</v>
      </c>
      <c r="L71" s="161">
        <v>815</v>
      </c>
      <c r="M71" s="160">
        <v>1</v>
      </c>
      <c r="N71" s="164">
        <v>1</v>
      </c>
      <c r="O71" s="163" t="s">
        <v>337</v>
      </c>
      <c r="P71" s="163" t="s">
        <v>204</v>
      </c>
      <c r="Q71" s="165" t="s">
        <v>201</v>
      </c>
      <c r="R71" s="165">
        <v>1</v>
      </c>
      <c r="S71" s="162">
        <v>30.268785000000001</v>
      </c>
      <c r="T71" s="162">
        <v>-97.753922000000003</v>
      </c>
      <c r="U71" s="163"/>
      <c r="V71" s="163" t="s">
        <v>338</v>
      </c>
      <c r="W71" s="226"/>
    </row>
    <row r="72" spans="2:23" ht="16.5" customHeight="1" x14ac:dyDescent="0.2">
      <c r="B72" s="176">
        <v>68</v>
      </c>
      <c r="C72" s="177" t="s">
        <v>196</v>
      </c>
      <c r="D72" s="177" t="s">
        <v>197</v>
      </c>
      <c r="E72" s="178">
        <v>18</v>
      </c>
      <c r="F72" s="179">
        <v>4345.3</v>
      </c>
      <c r="G72" s="180">
        <v>4.3449999999999998</v>
      </c>
      <c r="H72" s="181" t="s">
        <v>303</v>
      </c>
      <c r="I72" s="177">
        <v>2050</v>
      </c>
      <c r="J72" s="178">
        <v>1</v>
      </c>
      <c r="K72" s="182">
        <v>1</v>
      </c>
      <c r="L72" s="179">
        <v>817</v>
      </c>
      <c r="M72" s="178">
        <v>1</v>
      </c>
      <c r="N72" s="182">
        <v>1</v>
      </c>
      <c r="O72" s="181" t="s">
        <v>339</v>
      </c>
      <c r="P72" s="181" t="s">
        <v>204</v>
      </c>
      <c r="Q72" s="183" t="s">
        <v>201</v>
      </c>
      <c r="R72" s="183">
        <v>1</v>
      </c>
      <c r="S72" s="180">
        <v>30.269974000000001</v>
      </c>
      <c r="T72" s="174">
        <v>-97.740844999999993</v>
      </c>
      <c r="U72" s="175"/>
      <c r="V72" s="175" t="s">
        <v>340</v>
      </c>
      <c r="W72" s="226"/>
    </row>
    <row r="73" spans="2:23" ht="15.75" customHeight="1" x14ac:dyDescent="0.2">
      <c r="B73" s="158">
        <v>69</v>
      </c>
      <c r="C73" s="159" t="s">
        <v>196</v>
      </c>
      <c r="D73" s="159" t="s">
        <v>197</v>
      </c>
      <c r="E73" s="160">
        <v>19</v>
      </c>
      <c r="F73" s="161">
        <v>4391.5</v>
      </c>
      <c r="G73" s="162">
        <v>4.391</v>
      </c>
      <c r="H73" s="163" t="s">
        <v>303</v>
      </c>
      <c r="I73" s="159">
        <v>999</v>
      </c>
      <c r="J73" s="160">
        <v>1</v>
      </c>
      <c r="K73" s="164">
        <v>1</v>
      </c>
      <c r="L73" s="161">
        <v>610</v>
      </c>
      <c r="M73" s="160">
        <v>1</v>
      </c>
      <c r="N73" s="164">
        <v>1</v>
      </c>
      <c r="O73" s="163" t="s">
        <v>341</v>
      </c>
      <c r="P73" s="163" t="s">
        <v>200</v>
      </c>
      <c r="Q73" s="165" t="s">
        <v>201</v>
      </c>
      <c r="R73" s="165">
        <v>1</v>
      </c>
      <c r="S73" s="162">
        <v>30.285281999999999</v>
      </c>
      <c r="T73" s="162">
        <v>-97.715034000000003</v>
      </c>
      <c r="U73" s="163"/>
      <c r="V73" s="163" t="s">
        <v>342</v>
      </c>
      <c r="W73" s="226"/>
    </row>
    <row r="74" spans="2:23" ht="15.75" customHeight="1" x14ac:dyDescent="0.2">
      <c r="B74" s="176">
        <v>70</v>
      </c>
      <c r="C74" s="177" t="s">
        <v>196</v>
      </c>
      <c r="D74" s="177" t="s">
        <v>197</v>
      </c>
      <c r="E74" s="178">
        <v>20</v>
      </c>
      <c r="F74" s="179">
        <v>4403.8999999999996</v>
      </c>
      <c r="G74" s="180">
        <v>4.4039999999999999</v>
      </c>
      <c r="H74" s="181" t="s">
        <v>303</v>
      </c>
      <c r="I74" s="177">
        <v>1700</v>
      </c>
      <c r="J74" s="178">
        <v>1</v>
      </c>
      <c r="K74" s="182">
        <v>1</v>
      </c>
      <c r="L74" s="179">
        <v>837</v>
      </c>
      <c r="M74" s="178">
        <v>1</v>
      </c>
      <c r="N74" s="182">
        <v>1</v>
      </c>
      <c r="O74" s="181" t="s">
        <v>343</v>
      </c>
      <c r="P74" s="181" t="s">
        <v>204</v>
      </c>
      <c r="Q74" s="183" t="s">
        <v>201</v>
      </c>
      <c r="R74" s="183">
        <v>1</v>
      </c>
      <c r="S74" s="180">
        <v>30.268090999999998</v>
      </c>
      <c r="T74" s="174">
        <v>-97.751723999999996</v>
      </c>
      <c r="U74" s="175"/>
      <c r="V74" s="175" t="s">
        <v>344</v>
      </c>
      <c r="W74" s="226"/>
    </row>
    <row r="75" spans="2:23" ht="15.75" customHeight="1" x14ac:dyDescent="0.2">
      <c r="B75" s="158">
        <v>71</v>
      </c>
      <c r="C75" s="159" t="s">
        <v>196</v>
      </c>
      <c r="D75" s="159" t="s">
        <v>197</v>
      </c>
      <c r="E75" s="160">
        <v>21</v>
      </c>
      <c r="F75" s="161">
        <v>4711.6000000000004</v>
      </c>
      <c r="G75" s="162">
        <v>4.7119999999999997</v>
      </c>
      <c r="H75" s="163" t="s">
        <v>303</v>
      </c>
      <c r="I75" s="159">
        <v>989</v>
      </c>
      <c r="J75" s="160">
        <v>1</v>
      </c>
      <c r="K75" s="164">
        <v>1</v>
      </c>
      <c r="L75" s="161">
        <v>510</v>
      </c>
      <c r="M75" s="160">
        <v>1</v>
      </c>
      <c r="N75" s="164">
        <v>1</v>
      </c>
      <c r="O75" s="163" t="s">
        <v>345</v>
      </c>
      <c r="P75" s="163" t="s">
        <v>200</v>
      </c>
      <c r="Q75" s="165" t="s">
        <v>201</v>
      </c>
      <c r="R75" s="165">
        <v>1</v>
      </c>
      <c r="S75" s="162">
        <v>30.320791</v>
      </c>
      <c r="T75" s="162">
        <v>-97.706023999999999</v>
      </c>
      <c r="U75" s="163"/>
      <c r="V75" s="163" t="s">
        <v>346</v>
      </c>
      <c r="W75" s="226"/>
    </row>
    <row r="76" spans="2:23" ht="16.5" customHeight="1" x14ac:dyDescent="0.2">
      <c r="B76" s="176">
        <v>72</v>
      </c>
      <c r="C76" s="177" t="s">
        <v>196</v>
      </c>
      <c r="D76" s="177" t="s">
        <v>197</v>
      </c>
      <c r="E76" s="178">
        <v>22</v>
      </c>
      <c r="F76" s="179">
        <v>4758.3999999999996</v>
      </c>
      <c r="G76" s="180">
        <v>4.758</v>
      </c>
      <c r="H76" s="181" t="s">
        <v>303</v>
      </c>
      <c r="I76" s="177">
        <v>1825</v>
      </c>
      <c r="J76" s="178">
        <v>1</v>
      </c>
      <c r="K76" s="182">
        <v>1</v>
      </c>
      <c r="L76" s="179">
        <v>913</v>
      </c>
      <c r="M76" s="178">
        <v>1</v>
      </c>
      <c r="N76" s="182">
        <v>1</v>
      </c>
      <c r="O76" s="181" t="s">
        <v>347</v>
      </c>
      <c r="P76" s="181" t="s">
        <v>204</v>
      </c>
      <c r="Q76" s="183" t="s">
        <v>201</v>
      </c>
      <c r="R76" s="183">
        <v>1</v>
      </c>
      <c r="S76" s="180">
        <v>30.268574000000001</v>
      </c>
      <c r="T76" s="174">
        <v>-97.732596999999998</v>
      </c>
      <c r="U76" s="175"/>
      <c r="V76" s="175" t="s">
        <v>348</v>
      </c>
      <c r="W76" s="226"/>
    </row>
    <row r="77" spans="2:23" ht="16.5" customHeight="1" x14ac:dyDescent="0.2">
      <c r="B77" s="158">
        <v>73</v>
      </c>
      <c r="C77" s="159" t="s">
        <v>196</v>
      </c>
      <c r="D77" s="159" t="s">
        <v>197</v>
      </c>
      <c r="E77" s="160">
        <v>23</v>
      </c>
      <c r="F77" s="161">
        <v>4812.6000000000004</v>
      </c>
      <c r="G77" s="162">
        <v>4.8129999999999997</v>
      </c>
      <c r="H77" s="163" t="s">
        <v>303</v>
      </c>
      <c r="I77" s="159">
        <v>1895</v>
      </c>
      <c r="J77" s="160">
        <v>1</v>
      </c>
      <c r="K77" s="164">
        <v>1</v>
      </c>
      <c r="L77" s="161">
        <v>775</v>
      </c>
      <c r="M77" s="160">
        <v>1</v>
      </c>
      <c r="N77" s="164">
        <v>1</v>
      </c>
      <c r="O77" s="163" t="s">
        <v>349</v>
      </c>
      <c r="P77" s="163" t="s">
        <v>323</v>
      </c>
      <c r="Q77" s="165" t="s">
        <v>201</v>
      </c>
      <c r="R77" s="165">
        <v>1</v>
      </c>
      <c r="S77" s="162">
        <v>30.27516</v>
      </c>
      <c r="T77" s="162">
        <v>-97.719634999999997</v>
      </c>
      <c r="U77" s="163"/>
      <c r="V77" s="163" t="s">
        <v>350</v>
      </c>
      <c r="W77" s="226"/>
    </row>
    <row r="78" spans="2:23" ht="15.75" customHeight="1" x14ac:dyDescent="0.2">
      <c r="B78" s="176">
        <v>74</v>
      </c>
      <c r="C78" s="177" t="s">
        <v>196</v>
      </c>
      <c r="D78" s="177" t="s">
        <v>197</v>
      </c>
      <c r="E78" s="178">
        <v>24</v>
      </c>
      <c r="F78" s="179">
        <v>4855.8999999999996</v>
      </c>
      <c r="G78" s="180">
        <v>4.8559999999999999</v>
      </c>
      <c r="H78" s="181" t="s">
        <v>303</v>
      </c>
      <c r="I78" s="177">
        <v>2395</v>
      </c>
      <c r="J78" s="178">
        <v>1</v>
      </c>
      <c r="K78" s="182">
        <v>1</v>
      </c>
      <c r="L78" s="179">
        <v>815</v>
      </c>
      <c r="M78" s="178">
        <v>1</v>
      </c>
      <c r="N78" s="182">
        <v>1</v>
      </c>
      <c r="O78" s="181" t="s">
        <v>351</v>
      </c>
      <c r="P78" s="181" t="s">
        <v>204</v>
      </c>
      <c r="Q78" s="183" t="s">
        <v>201</v>
      </c>
      <c r="R78" s="183">
        <v>1</v>
      </c>
      <c r="S78" s="180">
        <v>30.264605</v>
      </c>
      <c r="T78" s="174">
        <v>-97.744431000000006</v>
      </c>
      <c r="U78" s="175"/>
      <c r="V78" s="175" t="s">
        <v>352</v>
      </c>
      <c r="W78" s="226"/>
    </row>
    <row r="79" spans="2:23" ht="15.75" customHeight="1" x14ac:dyDescent="0.2">
      <c r="B79" s="158">
        <v>75</v>
      </c>
      <c r="C79" s="159" t="s">
        <v>196</v>
      </c>
      <c r="D79" s="159" t="s">
        <v>197</v>
      </c>
      <c r="E79" s="160">
        <v>25</v>
      </c>
      <c r="F79" s="161">
        <v>5588</v>
      </c>
      <c r="G79" s="162">
        <v>5.5880000000000001</v>
      </c>
      <c r="H79" s="163" t="s">
        <v>303</v>
      </c>
      <c r="I79" s="159">
        <v>1625</v>
      </c>
      <c r="J79" s="160">
        <v>1</v>
      </c>
      <c r="K79" s="164">
        <v>1</v>
      </c>
      <c r="L79" s="161">
        <v>813</v>
      </c>
      <c r="M79" s="160">
        <v>1</v>
      </c>
      <c r="N79" s="164">
        <v>1</v>
      </c>
      <c r="O79" s="163" t="s">
        <v>353</v>
      </c>
      <c r="P79" s="163" t="s">
        <v>204</v>
      </c>
      <c r="Q79" s="165" t="s">
        <v>201</v>
      </c>
      <c r="R79" s="165">
        <v>1</v>
      </c>
      <c r="S79" s="162">
        <v>30.26305</v>
      </c>
      <c r="T79" s="162">
        <v>-97.725966999999997</v>
      </c>
      <c r="U79" s="163"/>
      <c r="V79" s="163" t="s">
        <v>354</v>
      </c>
      <c r="W79" s="226"/>
    </row>
    <row r="80" spans="2:23" ht="16.5" customHeight="1" x14ac:dyDescent="0.2">
      <c r="B80" s="176">
        <v>76</v>
      </c>
      <c r="C80" s="177" t="s">
        <v>196</v>
      </c>
      <c r="D80" s="177" t="s">
        <v>197</v>
      </c>
      <c r="E80" s="178">
        <v>26</v>
      </c>
      <c r="F80" s="179">
        <v>5644.5</v>
      </c>
      <c r="G80" s="180">
        <v>5.6440000000000001</v>
      </c>
      <c r="H80" s="181" t="s">
        <v>303</v>
      </c>
      <c r="I80" s="177">
        <v>990</v>
      </c>
      <c r="J80" s="178">
        <v>1</v>
      </c>
      <c r="K80" s="182">
        <v>1</v>
      </c>
      <c r="L80" s="179">
        <v>705</v>
      </c>
      <c r="M80" s="178">
        <v>1</v>
      </c>
      <c r="N80" s="182">
        <v>1</v>
      </c>
      <c r="O80" s="181" t="s">
        <v>355</v>
      </c>
      <c r="P80" s="181" t="s">
        <v>200</v>
      </c>
      <c r="Q80" s="183" t="s">
        <v>201</v>
      </c>
      <c r="R80" s="183">
        <v>1</v>
      </c>
      <c r="S80" s="180">
        <v>30.358367999999999</v>
      </c>
      <c r="T80" s="174">
        <v>-97.749374000000003</v>
      </c>
      <c r="U80" s="175"/>
      <c r="V80" s="175" t="s">
        <v>356</v>
      </c>
      <c r="W80" s="226"/>
    </row>
    <row r="81" spans="2:23" ht="15.75" customHeight="1" x14ac:dyDescent="0.2">
      <c r="B81" s="158">
        <v>77</v>
      </c>
      <c r="C81" s="159" t="s">
        <v>196</v>
      </c>
      <c r="D81" s="159" t="s">
        <v>197</v>
      </c>
      <c r="E81" s="160">
        <v>27</v>
      </c>
      <c r="F81" s="161">
        <v>5737.4</v>
      </c>
      <c r="G81" s="162">
        <v>5.7370000000000001</v>
      </c>
      <c r="H81" s="163" t="s">
        <v>303</v>
      </c>
      <c r="I81" s="159">
        <v>1750</v>
      </c>
      <c r="J81" s="160">
        <v>1</v>
      </c>
      <c r="K81" s="164">
        <v>1</v>
      </c>
      <c r="L81" s="161">
        <v>815</v>
      </c>
      <c r="M81" s="160">
        <v>1</v>
      </c>
      <c r="N81" s="164">
        <v>1</v>
      </c>
      <c r="O81" s="163" t="s">
        <v>357</v>
      </c>
      <c r="P81" s="163" t="s">
        <v>204</v>
      </c>
      <c r="Q81" s="165" t="s">
        <v>201</v>
      </c>
      <c r="R81" s="165">
        <v>1</v>
      </c>
      <c r="S81" s="162">
        <v>30.257377999999999</v>
      </c>
      <c r="T81" s="162">
        <v>-97.739433000000005</v>
      </c>
      <c r="U81" s="163"/>
      <c r="V81" s="163" t="s">
        <v>358</v>
      </c>
      <c r="W81" s="226"/>
    </row>
    <row r="82" spans="2:23" ht="15.75" customHeight="1" x14ac:dyDescent="0.2">
      <c r="B82" s="176">
        <v>78</v>
      </c>
      <c r="C82" s="177" t="s">
        <v>196</v>
      </c>
      <c r="D82" s="177" t="s">
        <v>197</v>
      </c>
      <c r="E82" s="178">
        <v>28</v>
      </c>
      <c r="F82" s="179">
        <v>6109.6</v>
      </c>
      <c r="G82" s="180">
        <v>6.11</v>
      </c>
      <c r="H82" s="181" t="s">
        <v>303</v>
      </c>
      <c r="I82" s="177">
        <v>1449</v>
      </c>
      <c r="J82" s="178">
        <v>1</v>
      </c>
      <c r="K82" s="182">
        <v>1</v>
      </c>
      <c r="L82" s="179">
        <v>665</v>
      </c>
      <c r="M82" s="178">
        <v>1</v>
      </c>
      <c r="N82" s="182">
        <v>1</v>
      </c>
      <c r="O82" s="181" t="s">
        <v>359</v>
      </c>
      <c r="P82" s="181" t="s">
        <v>200</v>
      </c>
      <c r="Q82" s="183" t="s">
        <v>201</v>
      </c>
      <c r="R82" s="183">
        <v>1</v>
      </c>
      <c r="S82" s="180">
        <v>30.261234000000002</v>
      </c>
      <c r="T82" s="174">
        <v>-97.786681999999999</v>
      </c>
      <c r="U82" s="175"/>
      <c r="V82" s="175" t="s">
        <v>360</v>
      </c>
      <c r="W82" s="226"/>
    </row>
    <row r="83" spans="2:23" ht="15.75" customHeight="1" x14ac:dyDescent="0.2">
      <c r="B83" s="158">
        <v>79</v>
      </c>
      <c r="C83" s="159" t="s">
        <v>196</v>
      </c>
      <c r="D83" s="159" t="s">
        <v>197</v>
      </c>
      <c r="E83" s="160">
        <v>29</v>
      </c>
      <c r="F83" s="161">
        <v>6835.1</v>
      </c>
      <c r="G83" s="162">
        <v>6.835</v>
      </c>
      <c r="H83" s="163" t="s">
        <v>303</v>
      </c>
      <c r="I83" s="159">
        <v>894</v>
      </c>
      <c r="J83" s="160">
        <v>1</v>
      </c>
      <c r="K83" s="164">
        <v>1</v>
      </c>
      <c r="L83" s="161">
        <v>560</v>
      </c>
      <c r="M83" s="160">
        <v>1</v>
      </c>
      <c r="N83" s="164">
        <v>1</v>
      </c>
      <c r="O83" s="163" t="s">
        <v>361</v>
      </c>
      <c r="P83" s="163" t="s">
        <v>200</v>
      </c>
      <c r="Q83" s="165" t="s">
        <v>201</v>
      </c>
      <c r="R83" s="165">
        <v>1</v>
      </c>
      <c r="S83" s="162">
        <v>30.368883</v>
      </c>
      <c r="T83" s="162">
        <v>-97.745979000000005</v>
      </c>
      <c r="U83" s="163"/>
      <c r="V83" s="163" t="s">
        <v>362</v>
      </c>
      <c r="W83" s="226"/>
    </row>
    <row r="84" spans="2:23" ht="16.5" customHeight="1" x14ac:dyDescent="0.2">
      <c r="B84" s="176">
        <v>80</v>
      </c>
      <c r="C84" s="177" t="s">
        <v>196</v>
      </c>
      <c r="D84" s="177" t="s">
        <v>197</v>
      </c>
      <c r="E84" s="178">
        <v>30</v>
      </c>
      <c r="F84" s="179">
        <v>6845.3</v>
      </c>
      <c r="G84" s="180">
        <v>6.8449999999999998</v>
      </c>
      <c r="H84" s="181" t="s">
        <v>303</v>
      </c>
      <c r="I84" s="177">
        <v>850</v>
      </c>
      <c r="J84" s="178">
        <v>1</v>
      </c>
      <c r="K84" s="182">
        <v>1</v>
      </c>
      <c r="L84" s="179">
        <v>750</v>
      </c>
      <c r="M84" s="178">
        <v>1</v>
      </c>
      <c r="N84" s="182">
        <v>1</v>
      </c>
      <c r="O84" s="181" t="s">
        <v>363</v>
      </c>
      <c r="P84" s="181" t="s">
        <v>200</v>
      </c>
      <c r="Q84" s="183" t="s">
        <v>201</v>
      </c>
      <c r="R84" s="183">
        <v>1</v>
      </c>
      <c r="S84" s="180">
        <v>30.321679</v>
      </c>
      <c r="T84" s="174">
        <v>-97.683255000000003</v>
      </c>
      <c r="U84" s="175"/>
      <c r="V84" s="175" t="s">
        <v>364</v>
      </c>
      <c r="W84" s="226"/>
    </row>
    <row r="85" spans="2:23" ht="15.75" customHeight="1" x14ac:dyDescent="0.2">
      <c r="B85" s="158">
        <v>81</v>
      </c>
      <c r="C85" s="159" t="s">
        <v>196</v>
      </c>
      <c r="D85" s="159" t="s">
        <v>197</v>
      </c>
      <c r="E85" s="160">
        <v>31</v>
      </c>
      <c r="F85" s="161">
        <v>6882.6</v>
      </c>
      <c r="G85" s="162">
        <v>6.883</v>
      </c>
      <c r="H85" s="163" t="s">
        <v>303</v>
      </c>
      <c r="I85" s="159">
        <v>1750</v>
      </c>
      <c r="J85" s="160">
        <v>1</v>
      </c>
      <c r="K85" s="164">
        <v>1</v>
      </c>
      <c r="L85" s="161">
        <v>640</v>
      </c>
      <c r="M85" s="160">
        <v>1</v>
      </c>
      <c r="N85" s="164">
        <v>1</v>
      </c>
      <c r="O85" s="163" t="s">
        <v>365</v>
      </c>
      <c r="P85" s="163" t="s">
        <v>221</v>
      </c>
      <c r="Q85" s="165" t="s">
        <v>201</v>
      </c>
      <c r="R85" s="165">
        <v>1</v>
      </c>
      <c r="S85" s="162">
        <v>30.255725999999999</v>
      </c>
      <c r="T85" s="162">
        <v>-97.713752999999997</v>
      </c>
      <c r="U85" s="163"/>
      <c r="V85" s="163" t="s">
        <v>366</v>
      </c>
      <c r="W85" s="226"/>
    </row>
    <row r="86" spans="2:23" ht="15.75" customHeight="1" x14ac:dyDescent="0.2">
      <c r="B86" s="176">
        <v>82</v>
      </c>
      <c r="C86" s="177" t="s">
        <v>196</v>
      </c>
      <c r="D86" s="177" t="s">
        <v>197</v>
      </c>
      <c r="E86" s="178">
        <v>32</v>
      </c>
      <c r="F86" s="179">
        <v>6901.7</v>
      </c>
      <c r="G86" s="180">
        <v>6.9020000000000001</v>
      </c>
      <c r="H86" s="181" t="s">
        <v>303</v>
      </c>
      <c r="I86" s="177">
        <v>900</v>
      </c>
      <c r="J86" s="178">
        <v>1</v>
      </c>
      <c r="K86" s="182">
        <v>1</v>
      </c>
      <c r="L86" s="179">
        <v>750</v>
      </c>
      <c r="M86" s="178">
        <v>1</v>
      </c>
      <c r="N86" s="182">
        <v>1</v>
      </c>
      <c r="O86" s="181" t="s">
        <v>367</v>
      </c>
      <c r="P86" s="181" t="s">
        <v>200</v>
      </c>
      <c r="Q86" s="183" t="s">
        <v>201</v>
      </c>
      <c r="R86" s="183">
        <v>1</v>
      </c>
      <c r="S86" s="180">
        <v>30.321718000000001</v>
      </c>
      <c r="T86" s="174">
        <v>-97.682663000000005</v>
      </c>
      <c r="U86" s="175"/>
      <c r="V86" s="175" t="s">
        <v>368</v>
      </c>
      <c r="W86" s="226"/>
    </row>
    <row r="87" spans="2:23" ht="15.75" customHeight="1" x14ac:dyDescent="0.2">
      <c r="B87" s="158">
        <v>83</v>
      </c>
      <c r="C87" s="159" t="s">
        <v>196</v>
      </c>
      <c r="D87" s="159" t="s">
        <v>197</v>
      </c>
      <c r="E87" s="160">
        <v>33</v>
      </c>
      <c r="F87" s="161">
        <v>7821.5</v>
      </c>
      <c r="G87" s="162">
        <v>7.8209999999999997</v>
      </c>
      <c r="H87" s="163" t="s">
        <v>303</v>
      </c>
      <c r="I87" s="159">
        <v>1345</v>
      </c>
      <c r="J87" s="160">
        <v>1</v>
      </c>
      <c r="K87" s="164">
        <v>1</v>
      </c>
      <c r="L87" s="161">
        <v>785</v>
      </c>
      <c r="M87" s="160">
        <v>1</v>
      </c>
      <c r="N87" s="164">
        <v>1</v>
      </c>
      <c r="O87" s="163" t="s">
        <v>369</v>
      </c>
      <c r="P87" s="163" t="s">
        <v>204</v>
      </c>
      <c r="Q87" s="165" t="s">
        <v>201</v>
      </c>
      <c r="R87" s="165">
        <v>1</v>
      </c>
      <c r="S87" s="162">
        <v>30.238579000000001</v>
      </c>
      <c r="T87" s="162">
        <v>-97.767876000000001</v>
      </c>
      <c r="U87" s="163"/>
      <c r="V87" s="163" t="s">
        <v>370</v>
      </c>
      <c r="W87" s="226"/>
    </row>
    <row r="88" spans="2:23" ht="16.5" customHeight="1" x14ac:dyDescent="0.2">
      <c r="B88" s="176">
        <v>84</v>
      </c>
      <c r="C88" s="177" t="s">
        <v>196</v>
      </c>
      <c r="D88" s="177" t="s">
        <v>197</v>
      </c>
      <c r="E88" s="178">
        <v>34</v>
      </c>
      <c r="F88" s="179">
        <v>7833.2</v>
      </c>
      <c r="G88" s="180">
        <v>7.8330000000000002</v>
      </c>
      <c r="H88" s="181" t="s">
        <v>303</v>
      </c>
      <c r="I88" s="177">
        <v>1400</v>
      </c>
      <c r="J88" s="178">
        <v>1</v>
      </c>
      <c r="K88" s="182">
        <v>1</v>
      </c>
      <c r="L88" s="179">
        <v>798</v>
      </c>
      <c r="M88" s="178">
        <v>1</v>
      </c>
      <c r="N88" s="182">
        <v>1</v>
      </c>
      <c r="O88" s="181" t="s">
        <v>371</v>
      </c>
      <c r="P88" s="181" t="s">
        <v>204</v>
      </c>
      <c r="Q88" s="183" t="s">
        <v>201</v>
      </c>
      <c r="R88" s="183">
        <v>1</v>
      </c>
      <c r="S88" s="180">
        <v>30.238427999999999</v>
      </c>
      <c r="T88" s="174">
        <v>-97.767608999999993</v>
      </c>
      <c r="U88" s="175"/>
      <c r="V88" s="175" t="s">
        <v>372</v>
      </c>
      <c r="W88" s="226"/>
    </row>
    <row r="89" spans="2:23" ht="15.75" customHeight="1" x14ac:dyDescent="0.2">
      <c r="B89" s="158">
        <v>85</v>
      </c>
      <c r="C89" s="159" t="s">
        <v>196</v>
      </c>
      <c r="D89" s="159" t="s">
        <v>197</v>
      </c>
      <c r="E89" s="160">
        <v>35</v>
      </c>
      <c r="F89" s="161">
        <v>7839.1</v>
      </c>
      <c r="G89" s="162">
        <v>7.8390000000000004</v>
      </c>
      <c r="H89" s="163" t="s">
        <v>303</v>
      </c>
      <c r="I89" s="159">
        <v>799</v>
      </c>
      <c r="J89" s="160">
        <v>1</v>
      </c>
      <c r="K89" s="164">
        <v>1</v>
      </c>
      <c r="L89" s="161">
        <v>625</v>
      </c>
      <c r="M89" s="160">
        <v>1</v>
      </c>
      <c r="N89" s="164">
        <v>1</v>
      </c>
      <c r="O89" s="163" t="s">
        <v>373</v>
      </c>
      <c r="P89" s="163" t="s">
        <v>200</v>
      </c>
      <c r="Q89" s="165" t="s">
        <v>201</v>
      </c>
      <c r="R89" s="165">
        <v>1</v>
      </c>
      <c r="S89" s="162">
        <v>30.241095000000001</v>
      </c>
      <c r="T89" s="162">
        <v>-97.725905999999995</v>
      </c>
      <c r="U89" s="163"/>
      <c r="V89" s="163" t="s">
        <v>374</v>
      </c>
      <c r="W89" s="226"/>
    </row>
    <row r="90" spans="2:23" ht="15.75" customHeight="1" x14ac:dyDescent="0.2">
      <c r="B90" s="176">
        <v>86</v>
      </c>
      <c r="C90" s="177" t="s">
        <v>196</v>
      </c>
      <c r="D90" s="177" t="s">
        <v>197</v>
      </c>
      <c r="E90" s="178">
        <v>36</v>
      </c>
      <c r="F90" s="179">
        <v>8173.1</v>
      </c>
      <c r="G90" s="180">
        <v>8.173</v>
      </c>
      <c r="H90" s="181" t="s">
        <v>303</v>
      </c>
      <c r="I90" s="177">
        <v>1475</v>
      </c>
      <c r="J90" s="178">
        <v>1</v>
      </c>
      <c r="K90" s="182">
        <v>1</v>
      </c>
      <c r="L90" s="179">
        <v>835</v>
      </c>
      <c r="M90" s="178">
        <v>1</v>
      </c>
      <c r="N90" s="182">
        <v>1</v>
      </c>
      <c r="O90" s="181" t="s">
        <v>375</v>
      </c>
      <c r="P90" s="181" t="s">
        <v>204</v>
      </c>
      <c r="Q90" s="183" t="s">
        <v>201</v>
      </c>
      <c r="R90" s="183">
        <v>1</v>
      </c>
      <c r="S90" s="180">
        <v>30.234915000000001</v>
      </c>
      <c r="T90" s="174">
        <v>-97.764663999999996</v>
      </c>
      <c r="U90" s="175"/>
      <c r="V90" s="175" t="s">
        <v>376</v>
      </c>
      <c r="W90" s="226"/>
    </row>
    <row r="91" spans="2:23" ht="15.75" customHeight="1" x14ac:dyDescent="0.2">
      <c r="B91" s="158">
        <v>87</v>
      </c>
      <c r="C91" s="159" t="s">
        <v>196</v>
      </c>
      <c r="D91" s="159" t="s">
        <v>197</v>
      </c>
      <c r="E91" s="160">
        <v>37</v>
      </c>
      <c r="F91" s="161">
        <v>8965.1</v>
      </c>
      <c r="G91" s="162">
        <v>8.9649999999999999</v>
      </c>
      <c r="H91" s="163" t="s">
        <v>303</v>
      </c>
      <c r="I91" s="159">
        <v>814</v>
      </c>
      <c r="J91" s="160">
        <v>1</v>
      </c>
      <c r="K91" s="164">
        <v>1</v>
      </c>
      <c r="L91" s="161">
        <v>527</v>
      </c>
      <c r="M91" s="160">
        <v>1</v>
      </c>
      <c r="N91" s="164">
        <v>1</v>
      </c>
      <c r="O91" s="163" t="s">
        <v>377</v>
      </c>
      <c r="P91" s="163" t="s">
        <v>200</v>
      </c>
      <c r="Q91" s="165" t="s">
        <v>201</v>
      </c>
      <c r="R91" s="165">
        <v>1</v>
      </c>
      <c r="S91" s="162">
        <v>30.228752</v>
      </c>
      <c r="T91" s="162">
        <v>-97.733688000000001</v>
      </c>
      <c r="U91" s="163"/>
      <c r="V91" s="163" t="s">
        <v>378</v>
      </c>
      <c r="W91" s="226"/>
    </row>
    <row r="92" spans="2:23" ht="16.5" customHeight="1" x14ac:dyDescent="0.2">
      <c r="B92" s="176">
        <v>88</v>
      </c>
      <c r="C92" s="177" t="s">
        <v>196</v>
      </c>
      <c r="D92" s="177" t="s">
        <v>197</v>
      </c>
      <c r="E92" s="178">
        <v>38</v>
      </c>
      <c r="F92" s="179">
        <v>8965.1</v>
      </c>
      <c r="G92" s="180">
        <v>8.9649999999999999</v>
      </c>
      <c r="H92" s="181" t="s">
        <v>303</v>
      </c>
      <c r="I92" s="177">
        <v>939</v>
      </c>
      <c r="J92" s="178">
        <v>1</v>
      </c>
      <c r="K92" s="182">
        <v>1</v>
      </c>
      <c r="L92" s="179">
        <v>672</v>
      </c>
      <c r="M92" s="178">
        <v>1</v>
      </c>
      <c r="N92" s="182">
        <v>1</v>
      </c>
      <c r="O92" s="181" t="s">
        <v>379</v>
      </c>
      <c r="P92" s="181" t="s">
        <v>200</v>
      </c>
      <c r="Q92" s="183" t="s">
        <v>201</v>
      </c>
      <c r="R92" s="183">
        <v>1</v>
      </c>
      <c r="S92" s="180">
        <v>30.228752</v>
      </c>
      <c r="T92" s="174">
        <v>-97.733688000000001</v>
      </c>
      <c r="U92" s="175"/>
      <c r="V92" s="175" t="s">
        <v>380</v>
      </c>
      <c r="W92" s="226"/>
    </row>
    <row r="93" spans="2:23" ht="16.5" customHeight="1" x14ac:dyDescent="0.2">
      <c r="B93" s="158">
        <v>89</v>
      </c>
      <c r="C93" s="159" t="s">
        <v>196</v>
      </c>
      <c r="D93" s="159" t="s">
        <v>197</v>
      </c>
      <c r="E93" s="160">
        <v>39</v>
      </c>
      <c r="F93" s="161">
        <v>8965.1</v>
      </c>
      <c r="G93" s="162">
        <v>8.9649999999999999</v>
      </c>
      <c r="H93" s="163" t="s">
        <v>303</v>
      </c>
      <c r="I93" s="159">
        <v>804</v>
      </c>
      <c r="J93" s="160">
        <v>1</v>
      </c>
      <c r="K93" s="164">
        <v>1</v>
      </c>
      <c r="L93" s="161">
        <v>527</v>
      </c>
      <c r="M93" s="160">
        <v>1</v>
      </c>
      <c r="N93" s="164">
        <v>1</v>
      </c>
      <c r="O93" s="163" t="s">
        <v>381</v>
      </c>
      <c r="P93" s="163" t="s">
        <v>200</v>
      </c>
      <c r="Q93" s="165" t="s">
        <v>201</v>
      </c>
      <c r="R93" s="165">
        <v>1</v>
      </c>
      <c r="S93" s="162">
        <v>30.228752</v>
      </c>
      <c r="T93" s="162">
        <v>-97.733688000000001</v>
      </c>
      <c r="U93" s="163"/>
      <c r="V93" s="163" t="s">
        <v>382</v>
      </c>
      <c r="W93" s="226"/>
    </row>
    <row r="94" spans="2:23" ht="15.75" customHeight="1" x14ac:dyDescent="0.2">
      <c r="B94" s="176">
        <v>90</v>
      </c>
      <c r="C94" s="177" t="s">
        <v>196</v>
      </c>
      <c r="D94" s="177" t="s">
        <v>197</v>
      </c>
      <c r="E94" s="178">
        <v>40</v>
      </c>
      <c r="F94" s="179">
        <v>9081.5</v>
      </c>
      <c r="G94" s="180">
        <v>9.0809999999999995</v>
      </c>
      <c r="H94" s="181" t="s">
        <v>303</v>
      </c>
      <c r="I94" s="177">
        <v>695</v>
      </c>
      <c r="J94" s="178">
        <v>1</v>
      </c>
      <c r="K94" s="182">
        <v>1</v>
      </c>
      <c r="L94" s="179">
        <v>1368</v>
      </c>
      <c r="M94" s="178">
        <v>1</v>
      </c>
      <c r="N94" s="182">
        <v>1</v>
      </c>
      <c r="O94" s="181" t="s">
        <v>383</v>
      </c>
      <c r="P94" s="181" t="s">
        <v>221</v>
      </c>
      <c r="Q94" s="183" t="s">
        <v>201</v>
      </c>
      <c r="R94" s="183">
        <v>1</v>
      </c>
      <c r="S94" s="180">
        <v>30.232101</v>
      </c>
      <c r="T94" s="174">
        <v>-97.716883999999993</v>
      </c>
      <c r="U94" s="175"/>
      <c r="V94" s="175" t="s">
        <v>384</v>
      </c>
      <c r="W94" s="226"/>
    </row>
    <row r="95" spans="2:23" ht="15.75" customHeight="1" x14ac:dyDescent="0.2">
      <c r="B95" s="158">
        <v>91</v>
      </c>
      <c r="C95" s="159" t="s">
        <v>196</v>
      </c>
      <c r="D95" s="159" t="s">
        <v>197</v>
      </c>
      <c r="E95" s="160">
        <v>41</v>
      </c>
      <c r="F95" s="161">
        <v>9490</v>
      </c>
      <c r="G95" s="162">
        <v>9.49</v>
      </c>
      <c r="H95" s="163" t="s">
        <v>303</v>
      </c>
      <c r="I95" s="159">
        <v>850</v>
      </c>
      <c r="J95" s="160">
        <v>1</v>
      </c>
      <c r="K95" s="164">
        <v>1</v>
      </c>
      <c r="L95" s="161">
        <v>525</v>
      </c>
      <c r="M95" s="160">
        <v>1</v>
      </c>
      <c r="N95" s="164">
        <v>1</v>
      </c>
      <c r="O95" s="163" t="s">
        <v>385</v>
      </c>
      <c r="P95" s="163" t="s">
        <v>200</v>
      </c>
      <c r="Q95" s="165" t="s">
        <v>201</v>
      </c>
      <c r="R95" s="165">
        <v>1</v>
      </c>
      <c r="S95" s="162">
        <v>30.225145000000001</v>
      </c>
      <c r="T95" s="162">
        <v>-97.727585000000005</v>
      </c>
      <c r="U95" s="163"/>
      <c r="V95" s="163" t="s">
        <v>386</v>
      </c>
      <c r="W95" s="226"/>
    </row>
    <row r="96" spans="2:23" ht="16.5" customHeight="1" x14ac:dyDescent="0.2">
      <c r="B96" s="176">
        <v>92</v>
      </c>
      <c r="C96" s="177" t="s">
        <v>196</v>
      </c>
      <c r="D96" s="177" t="s">
        <v>197</v>
      </c>
      <c r="E96" s="178">
        <v>42</v>
      </c>
      <c r="F96" s="179">
        <v>9508.6</v>
      </c>
      <c r="G96" s="180">
        <v>9.5090000000000003</v>
      </c>
      <c r="H96" s="181" t="s">
        <v>303</v>
      </c>
      <c r="I96" s="177">
        <v>1295</v>
      </c>
      <c r="J96" s="178">
        <v>1</v>
      </c>
      <c r="K96" s="182">
        <v>1</v>
      </c>
      <c r="L96" s="179">
        <v>704</v>
      </c>
      <c r="M96" s="178">
        <v>1</v>
      </c>
      <c r="N96" s="182">
        <v>1</v>
      </c>
      <c r="O96" s="181" t="s">
        <v>387</v>
      </c>
      <c r="P96" s="181" t="s">
        <v>221</v>
      </c>
      <c r="Q96" s="183" t="s">
        <v>201</v>
      </c>
      <c r="R96" s="183">
        <v>1</v>
      </c>
      <c r="S96" s="180">
        <v>30.225389</v>
      </c>
      <c r="T96" s="174">
        <v>-97.725810999999993</v>
      </c>
      <c r="U96" s="175"/>
      <c r="V96" s="175" t="s">
        <v>388</v>
      </c>
      <c r="W96" s="226"/>
    </row>
    <row r="97" spans="2:23" ht="15.75" customHeight="1" x14ac:dyDescent="0.2">
      <c r="B97" s="158">
        <v>93</v>
      </c>
      <c r="C97" s="159" t="s">
        <v>196</v>
      </c>
      <c r="D97" s="159" t="s">
        <v>197</v>
      </c>
      <c r="E97" s="160">
        <v>43</v>
      </c>
      <c r="F97" s="161">
        <v>9959.2000000000007</v>
      </c>
      <c r="G97" s="162">
        <v>9.9589999999999996</v>
      </c>
      <c r="H97" s="163" t="s">
        <v>303</v>
      </c>
      <c r="I97" s="159">
        <v>1650</v>
      </c>
      <c r="J97" s="160">
        <v>1</v>
      </c>
      <c r="K97" s="164">
        <v>1</v>
      </c>
      <c r="L97" s="161">
        <v>911</v>
      </c>
      <c r="M97" s="160">
        <v>1</v>
      </c>
      <c r="N97" s="164">
        <v>1</v>
      </c>
      <c r="O97" s="163" t="s">
        <v>389</v>
      </c>
      <c r="P97" s="163" t="s">
        <v>204</v>
      </c>
      <c r="Q97" s="165" t="s">
        <v>201</v>
      </c>
      <c r="R97" s="165">
        <v>1</v>
      </c>
      <c r="S97" s="162">
        <v>30.229792</v>
      </c>
      <c r="T97" s="162">
        <v>-97.803886000000006</v>
      </c>
      <c r="U97" s="163"/>
      <c r="V97" s="163" t="s">
        <v>390</v>
      </c>
      <c r="W97" s="226"/>
    </row>
    <row r="98" spans="2:23" ht="15.75" customHeight="1" x14ac:dyDescent="0.2">
      <c r="B98" s="176">
        <v>94</v>
      </c>
      <c r="C98" s="177" t="s">
        <v>196</v>
      </c>
      <c r="D98" s="177" t="s">
        <v>197</v>
      </c>
      <c r="E98" s="178">
        <v>44</v>
      </c>
      <c r="F98" s="179">
        <v>11142.5</v>
      </c>
      <c r="G98" s="180">
        <v>11.143000000000001</v>
      </c>
      <c r="H98" s="181" t="s">
        <v>303</v>
      </c>
      <c r="I98" s="177">
        <v>1225</v>
      </c>
      <c r="J98" s="178">
        <v>1</v>
      </c>
      <c r="K98" s="182">
        <v>1</v>
      </c>
      <c r="L98" s="179">
        <v>580</v>
      </c>
      <c r="M98" s="178">
        <v>1</v>
      </c>
      <c r="N98" s="182">
        <v>1</v>
      </c>
      <c r="O98" s="181" t="s">
        <v>391</v>
      </c>
      <c r="P98" s="181" t="s">
        <v>221</v>
      </c>
      <c r="Q98" s="183" t="s">
        <v>201</v>
      </c>
      <c r="R98" s="183">
        <v>1</v>
      </c>
      <c r="S98" s="180">
        <v>30.220039</v>
      </c>
      <c r="T98" s="174">
        <v>-97.696465000000003</v>
      </c>
      <c r="U98" s="175"/>
      <c r="V98" s="175" t="s">
        <v>392</v>
      </c>
      <c r="W98" s="226"/>
    </row>
    <row r="99" spans="2:23" ht="15.75" customHeight="1" x14ac:dyDescent="0.2">
      <c r="B99" s="158">
        <v>95</v>
      </c>
      <c r="C99" s="159" t="s">
        <v>196</v>
      </c>
      <c r="D99" s="159" t="s">
        <v>197</v>
      </c>
      <c r="E99" s="160">
        <v>45</v>
      </c>
      <c r="F99" s="161">
        <v>12392.6</v>
      </c>
      <c r="G99" s="162">
        <v>12.393000000000001</v>
      </c>
      <c r="H99" s="163" t="s">
        <v>303</v>
      </c>
      <c r="I99" s="159">
        <v>1100</v>
      </c>
      <c r="J99" s="160">
        <v>1</v>
      </c>
      <c r="K99" s="164">
        <v>1</v>
      </c>
      <c r="L99" s="161">
        <v>600</v>
      </c>
      <c r="M99" s="160">
        <v>1</v>
      </c>
      <c r="N99" s="164">
        <v>1</v>
      </c>
      <c r="O99" s="163" t="s">
        <v>393</v>
      </c>
      <c r="P99" s="163" t="s">
        <v>204</v>
      </c>
      <c r="Q99" s="165" t="s">
        <v>201</v>
      </c>
      <c r="R99" s="165">
        <v>1</v>
      </c>
      <c r="S99" s="162">
        <v>30.219538</v>
      </c>
      <c r="T99" s="162">
        <v>-97.831657000000007</v>
      </c>
      <c r="U99" s="163"/>
      <c r="V99" s="163" t="s">
        <v>394</v>
      </c>
      <c r="W99" s="226"/>
    </row>
    <row r="100" spans="2:23" ht="16.5" customHeight="1" x14ac:dyDescent="0.2">
      <c r="B100" s="176">
        <v>96</v>
      </c>
      <c r="C100" s="177" t="s">
        <v>196</v>
      </c>
      <c r="D100" s="177" t="s">
        <v>197</v>
      </c>
      <c r="E100" s="178">
        <v>46</v>
      </c>
      <c r="F100" s="179">
        <v>12392.6</v>
      </c>
      <c r="G100" s="180">
        <v>12.393000000000001</v>
      </c>
      <c r="H100" s="181" t="s">
        <v>303</v>
      </c>
      <c r="I100" s="177">
        <v>1100</v>
      </c>
      <c r="J100" s="178">
        <v>1</v>
      </c>
      <c r="K100" s="182">
        <v>1</v>
      </c>
      <c r="L100" s="179">
        <v>600</v>
      </c>
      <c r="M100" s="178">
        <v>1</v>
      </c>
      <c r="N100" s="182">
        <v>1</v>
      </c>
      <c r="O100" s="181" t="s">
        <v>395</v>
      </c>
      <c r="P100" s="181" t="s">
        <v>204</v>
      </c>
      <c r="Q100" s="183" t="s">
        <v>201</v>
      </c>
      <c r="R100" s="183">
        <v>1</v>
      </c>
      <c r="S100" s="180">
        <v>30.219538</v>
      </c>
      <c r="T100" s="174">
        <v>-97.831657000000007</v>
      </c>
      <c r="U100" s="175"/>
      <c r="V100" s="175" t="s">
        <v>396</v>
      </c>
      <c r="W100" s="226"/>
    </row>
    <row r="101" spans="2:23" ht="15.75" customHeight="1" x14ac:dyDescent="0.2">
      <c r="B101" s="158">
        <v>97</v>
      </c>
      <c r="C101" s="159" t="s">
        <v>196</v>
      </c>
      <c r="D101" s="159" t="s">
        <v>197</v>
      </c>
      <c r="E101" s="160">
        <v>47</v>
      </c>
      <c r="F101" s="161">
        <v>12548.1</v>
      </c>
      <c r="G101" s="162">
        <v>12.548</v>
      </c>
      <c r="H101" s="163" t="s">
        <v>303</v>
      </c>
      <c r="I101" s="159">
        <v>1455</v>
      </c>
      <c r="J101" s="160">
        <v>1</v>
      </c>
      <c r="K101" s="164">
        <v>1</v>
      </c>
      <c r="L101" s="161">
        <v>812</v>
      </c>
      <c r="M101" s="160">
        <v>1</v>
      </c>
      <c r="N101" s="164">
        <v>1</v>
      </c>
      <c r="O101" s="163" t="s">
        <v>397</v>
      </c>
      <c r="P101" s="163" t="s">
        <v>204</v>
      </c>
      <c r="Q101" s="165" t="s">
        <v>201</v>
      </c>
      <c r="R101" s="165">
        <v>1</v>
      </c>
      <c r="S101" s="162">
        <v>30.196103999999998</v>
      </c>
      <c r="T101" s="162">
        <v>-97.772201999999993</v>
      </c>
      <c r="U101" s="163"/>
      <c r="V101" s="163" t="s">
        <v>398</v>
      </c>
      <c r="W101" s="226"/>
    </row>
    <row r="102" spans="2:23" ht="15.75" customHeight="1" x14ac:dyDescent="0.2">
      <c r="B102" s="176">
        <v>98</v>
      </c>
      <c r="C102" s="177" t="s">
        <v>196</v>
      </c>
      <c r="D102" s="177" t="s">
        <v>197</v>
      </c>
      <c r="E102" s="178">
        <v>48</v>
      </c>
      <c r="F102" s="179">
        <v>12600.6</v>
      </c>
      <c r="G102" s="180">
        <v>12.601000000000001</v>
      </c>
      <c r="H102" s="181" t="s">
        <v>303</v>
      </c>
      <c r="I102" s="177">
        <v>4465</v>
      </c>
      <c r="J102" s="178">
        <v>1</v>
      </c>
      <c r="K102" s="182">
        <v>1</v>
      </c>
      <c r="L102" s="179">
        <v>735</v>
      </c>
      <c r="M102" s="178">
        <v>1</v>
      </c>
      <c r="N102" s="182">
        <v>1</v>
      </c>
      <c r="O102" s="181" t="s">
        <v>399</v>
      </c>
      <c r="P102" s="181" t="s">
        <v>200</v>
      </c>
      <c r="Q102" s="183" t="s">
        <v>201</v>
      </c>
      <c r="R102" s="183">
        <v>1</v>
      </c>
      <c r="S102" s="180">
        <v>30.380576999999999</v>
      </c>
      <c r="T102" s="174">
        <v>-97.652161000000007</v>
      </c>
      <c r="U102" s="175"/>
      <c r="V102" s="175" t="s">
        <v>400</v>
      </c>
      <c r="W102" s="226"/>
    </row>
    <row r="103" spans="2:23" ht="15.75" customHeight="1" x14ac:dyDescent="0.2">
      <c r="B103" s="158">
        <v>99</v>
      </c>
      <c r="C103" s="159" t="s">
        <v>196</v>
      </c>
      <c r="D103" s="159" t="s">
        <v>197</v>
      </c>
      <c r="E103" s="160">
        <v>49</v>
      </c>
      <c r="F103" s="161">
        <v>12600.6</v>
      </c>
      <c r="G103" s="162">
        <v>12.601000000000001</v>
      </c>
      <c r="H103" s="163" t="s">
        <v>303</v>
      </c>
      <c r="I103" s="159">
        <v>3040</v>
      </c>
      <c r="J103" s="160">
        <v>1</v>
      </c>
      <c r="K103" s="164">
        <v>1</v>
      </c>
      <c r="L103" s="161">
        <v>677</v>
      </c>
      <c r="M103" s="160">
        <v>1</v>
      </c>
      <c r="N103" s="164">
        <v>1</v>
      </c>
      <c r="O103" s="163" t="s">
        <v>401</v>
      </c>
      <c r="P103" s="163" t="s">
        <v>200</v>
      </c>
      <c r="Q103" s="165" t="s">
        <v>201</v>
      </c>
      <c r="R103" s="165">
        <v>1</v>
      </c>
      <c r="S103" s="162">
        <v>30.380576999999999</v>
      </c>
      <c r="T103" s="162">
        <v>-97.652161000000007</v>
      </c>
      <c r="U103" s="163"/>
      <c r="V103" s="163" t="s">
        <v>402</v>
      </c>
      <c r="W103" s="226"/>
    </row>
    <row r="104" spans="2:23" ht="16.5" customHeight="1" x14ac:dyDescent="0.2">
      <c r="B104" s="176">
        <v>100</v>
      </c>
      <c r="C104" s="177" t="s">
        <v>196</v>
      </c>
      <c r="D104" s="177" t="s">
        <v>197</v>
      </c>
      <c r="E104" s="178">
        <v>50</v>
      </c>
      <c r="F104" s="179">
        <v>12817.8</v>
      </c>
      <c r="G104" s="180">
        <v>12.818</v>
      </c>
      <c r="H104" s="181" t="s">
        <v>303</v>
      </c>
      <c r="I104" s="177">
        <v>550</v>
      </c>
      <c r="J104" s="178">
        <v>1</v>
      </c>
      <c r="K104" s="182">
        <v>1</v>
      </c>
      <c r="L104" s="179">
        <v>1600</v>
      </c>
      <c r="M104" s="178">
        <v>1</v>
      </c>
      <c r="N104" s="182">
        <v>1</v>
      </c>
      <c r="O104" s="181" t="s">
        <v>403</v>
      </c>
      <c r="P104" s="181" t="s">
        <v>221</v>
      </c>
      <c r="Q104" s="183" t="s">
        <v>201</v>
      </c>
      <c r="R104" s="183">
        <v>1</v>
      </c>
      <c r="S104" s="180">
        <v>30.192542</v>
      </c>
      <c r="T104" s="174">
        <v>-97.746430000000004</v>
      </c>
      <c r="U104" s="175"/>
      <c r="V104" s="175" t="s">
        <v>404</v>
      </c>
      <c r="W104" s="226"/>
    </row>
    <row r="105" spans="2:23" ht="15.75" customHeight="1" x14ac:dyDescent="0.2">
      <c r="B105" s="158">
        <v>101</v>
      </c>
      <c r="C105" s="159" t="s">
        <v>196</v>
      </c>
      <c r="D105" s="159" t="s">
        <v>197</v>
      </c>
      <c r="E105" s="160">
        <v>1</v>
      </c>
      <c r="F105" s="161">
        <v>1910.9</v>
      </c>
      <c r="G105" s="162">
        <v>1.911</v>
      </c>
      <c r="H105" s="163" t="s">
        <v>405</v>
      </c>
      <c r="I105" s="159">
        <v>1795</v>
      </c>
      <c r="J105" s="160">
        <v>2</v>
      </c>
      <c r="K105" s="164">
        <v>2</v>
      </c>
      <c r="L105" s="161">
        <v>800</v>
      </c>
      <c r="M105" s="160">
        <v>2</v>
      </c>
      <c r="N105" s="164">
        <v>2</v>
      </c>
      <c r="O105" s="163" t="s">
        <v>406</v>
      </c>
      <c r="P105" s="163" t="s">
        <v>204</v>
      </c>
      <c r="Q105" s="165" t="s">
        <v>201</v>
      </c>
      <c r="R105" s="165">
        <v>1</v>
      </c>
      <c r="S105" s="162">
        <v>30.291156000000001</v>
      </c>
      <c r="T105" s="162">
        <v>-97.747263000000004</v>
      </c>
      <c r="U105" s="163"/>
      <c r="V105" s="163" t="s">
        <v>407</v>
      </c>
      <c r="W105" s="226"/>
    </row>
    <row r="106" spans="2:23" ht="15.75" customHeight="1" x14ac:dyDescent="0.2">
      <c r="B106" s="176">
        <v>102</v>
      </c>
      <c r="C106" s="177" t="s">
        <v>196</v>
      </c>
      <c r="D106" s="177" t="s">
        <v>197</v>
      </c>
      <c r="E106" s="178">
        <v>2</v>
      </c>
      <c r="F106" s="179">
        <v>1910.9</v>
      </c>
      <c r="G106" s="180">
        <v>1.911</v>
      </c>
      <c r="H106" s="181" t="s">
        <v>405</v>
      </c>
      <c r="I106" s="177">
        <v>1795</v>
      </c>
      <c r="J106" s="178">
        <v>2</v>
      </c>
      <c r="K106" s="182">
        <v>2</v>
      </c>
      <c r="L106" s="179">
        <v>750</v>
      </c>
      <c r="M106" s="178">
        <v>2</v>
      </c>
      <c r="N106" s="182">
        <v>2</v>
      </c>
      <c r="O106" s="181" t="s">
        <v>408</v>
      </c>
      <c r="P106" s="181" t="s">
        <v>204</v>
      </c>
      <c r="Q106" s="183" t="s">
        <v>201</v>
      </c>
      <c r="R106" s="183">
        <v>1</v>
      </c>
      <c r="S106" s="180">
        <v>30.291156000000001</v>
      </c>
      <c r="T106" s="174">
        <v>-97.747263000000004</v>
      </c>
      <c r="U106" s="175"/>
      <c r="V106" s="175" t="s">
        <v>409</v>
      </c>
      <c r="W106" s="226"/>
    </row>
    <row r="107" spans="2:23" ht="15.75" customHeight="1" x14ac:dyDescent="0.2">
      <c r="B107" s="158">
        <v>103</v>
      </c>
      <c r="C107" s="159" t="s">
        <v>196</v>
      </c>
      <c r="D107" s="159" t="s">
        <v>197</v>
      </c>
      <c r="E107" s="160">
        <v>3</v>
      </c>
      <c r="F107" s="161">
        <v>2019.1</v>
      </c>
      <c r="G107" s="162">
        <v>2.0190000000000001</v>
      </c>
      <c r="H107" s="163" t="s">
        <v>405</v>
      </c>
      <c r="I107" s="159">
        <v>2195</v>
      </c>
      <c r="J107" s="160">
        <v>2</v>
      </c>
      <c r="K107" s="164">
        <v>2</v>
      </c>
      <c r="L107" s="161">
        <v>1155</v>
      </c>
      <c r="M107" s="160">
        <v>2</v>
      </c>
      <c r="N107" s="164">
        <v>2</v>
      </c>
      <c r="O107" s="163" t="s">
        <v>410</v>
      </c>
      <c r="P107" s="163" t="s">
        <v>221</v>
      </c>
      <c r="Q107" s="165" t="s">
        <v>201</v>
      </c>
      <c r="R107" s="165">
        <v>1</v>
      </c>
      <c r="S107" s="162">
        <v>30.290113999999999</v>
      </c>
      <c r="T107" s="162">
        <v>-97.747406999999995</v>
      </c>
      <c r="U107" s="163"/>
      <c r="V107" s="163" t="s">
        <v>411</v>
      </c>
      <c r="W107" s="226"/>
    </row>
    <row r="108" spans="2:23" ht="16.5" customHeight="1" x14ac:dyDescent="0.2">
      <c r="B108" s="176">
        <v>104</v>
      </c>
      <c r="C108" s="177" t="s">
        <v>196</v>
      </c>
      <c r="D108" s="177" t="s">
        <v>197</v>
      </c>
      <c r="E108" s="178">
        <v>4</v>
      </c>
      <c r="F108" s="179">
        <v>2019.1</v>
      </c>
      <c r="G108" s="180">
        <v>2.0190000000000001</v>
      </c>
      <c r="H108" s="181" t="s">
        <v>405</v>
      </c>
      <c r="I108" s="177">
        <v>2195</v>
      </c>
      <c r="J108" s="178">
        <v>2</v>
      </c>
      <c r="K108" s="182">
        <v>2</v>
      </c>
      <c r="L108" s="179">
        <v>1155</v>
      </c>
      <c r="M108" s="178">
        <v>2</v>
      </c>
      <c r="N108" s="182">
        <v>2</v>
      </c>
      <c r="O108" s="181" t="s">
        <v>412</v>
      </c>
      <c r="P108" s="181" t="s">
        <v>204</v>
      </c>
      <c r="Q108" s="183" t="s">
        <v>201</v>
      </c>
      <c r="R108" s="183">
        <v>1</v>
      </c>
      <c r="S108" s="180">
        <v>30.290113999999999</v>
      </c>
      <c r="T108" s="174">
        <v>-97.747406999999995</v>
      </c>
      <c r="U108" s="175"/>
      <c r="V108" s="175" t="s">
        <v>413</v>
      </c>
      <c r="W108" s="226"/>
    </row>
    <row r="109" spans="2:23" ht="16.5" customHeight="1" x14ac:dyDescent="0.2">
      <c r="B109" s="158">
        <v>105</v>
      </c>
      <c r="C109" s="159" t="s">
        <v>196</v>
      </c>
      <c r="D109" s="159" t="s">
        <v>197</v>
      </c>
      <c r="E109" s="160">
        <v>5</v>
      </c>
      <c r="F109" s="161">
        <v>2027.1</v>
      </c>
      <c r="G109" s="162">
        <v>2.0270000000000001</v>
      </c>
      <c r="H109" s="163" t="s">
        <v>405</v>
      </c>
      <c r="I109" s="159">
        <v>2195</v>
      </c>
      <c r="J109" s="160">
        <v>2</v>
      </c>
      <c r="K109" s="164">
        <v>2</v>
      </c>
      <c r="L109" s="161">
        <v>1053</v>
      </c>
      <c r="M109" s="160">
        <v>2</v>
      </c>
      <c r="N109" s="164">
        <v>2</v>
      </c>
      <c r="O109" s="163" t="s">
        <v>414</v>
      </c>
      <c r="P109" s="163" t="s">
        <v>204</v>
      </c>
      <c r="Q109" s="165" t="s">
        <v>201</v>
      </c>
      <c r="R109" s="165">
        <v>1</v>
      </c>
      <c r="S109" s="162">
        <v>30.290535999999999</v>
      </c>
      <c r="T109" s="162">
        <v>-97.745546000000004</v>
      </c>
      <c r="U109" s="163"/>
      <c r="V109" s="163" t="s">
        <v>415</v>
      </c>
      <c r="W109" s="226"/>
    </row>
    <row r="110" spans="2:23" ht="15.75" customHeight="1" x14ac:dyDescent="0.2">
      <c r="B110" s="176">
        <v>106</v>
      </c>
      <c r="C110" s="177" t="s">
        <v>196</v>
      </c>
      <c r="D110" s="177" t="s">
        <v>197</v>
      </c>
      <c r="E110" s="178">
        <v>6</v>
      </c>
      <c r="F110" s="179">
        <v>2027.1</v>
      </c>
      <c r="G110" s="180">
        <v>2.0270000000000001</v>
      </c>
      <c r="H110" s="181" t="s">
        <v>405</v>
      </c>
      <c r="I110" s="177">
        <v>2395</v>
      </c>
      <c r="J110" s="178">
        <v>2</v>
      </c>
      <c r="K110" s="182">
        <v>2</v>
      </c>
      <c r="L110" s="179">
        <v>1045</v>
      </c>
      <c r="M110" s="178">
        <v>2</v>
      </c>
      <c r="N110" s="182">
        <v>2</v>
      </c>
      <c r="O110" s="181" t="s">
        <v>416</v>
      </c>
      <c r="P110" s="181" t="s">
        <v>204</v>
      </c>
      <c r="Q110" s="183" t="s">
        <v>201</v>
      </c>
      <c r="R110" s="183">
        <v>1</v>
      </c>
      <c r="S110" s="180">
        <v>30.290535999999999</v>
      </c>
      <c r="T110" s="174">
        <v>-97.745546000000004</v>
      </c>
      <c r="U110" s="175"/>
      <c r="V110" s="175" t="s">
        <v>417</v>
      </c>
      <c r="W110" s="226"/>
    </row>
    <row r="111" spans="2:23" ht="15.75" customHeight="1" x14ac:dyDescent="0.2">
      <c r="B111" s="158">
        <v>107</v>
      </c>
      <c r="C111" s="159" t="s">
        <v>196</v>
      </c>
      <c r="D111" s="159" t="s">
        <v>197</v>
      </c>
      <c r="E111" s="160">
        <v>7</v>
      </c>
      <c r="F111" s="161">
        <v>2191.1999999999998</v>
      </c>
      <c r="G111" s="162">
        <v>2.1909999999999998</v>
      </c>
      <c r="H111" s="163" t="s">
        <v>405</v>
      </c>
      <c r="I111" s="159">
        <v>2299</v>
      </c>
      <c r="J111" s="160">
        <v>2</v>
      </c>
      <c r="K111" s="164">
        <v>2</v>
      </c>
      <c r="L111" s="161">
        <v>1101</v>
      </c>
      <c r="M111" s="160">
        <v>2</v>
      </c>
      <c r="N111" s="164">
        <v>2</v>
      </c>
      <c r="O111" s="163" t="s">
        <v>418</v>
      </c>
      <c r="P111" s="163" t="s">
        <v>221</v>
      </c>
      <c r="Q111" s="165" t="s">
        <v>201</v>
      </c>
      <c r="R111" s="165">
        <v>1</v>
      </c>
      <c r="S111" s="162">
        <v>30.290054000000001</v>
      </c>
      <c r="T111" s="162">
        <v>-97.742512000000005</v>
      </c>
      <c r="U111" s="163"/>
      <c r="V111" s="163" t="s">
        <v>419</v>
      </c>
      <c r="W111" s="226"/>
    </row>
    <row r="112" spans="2:23" ht="16.5" customHeight="1" x14ac:dyDescent="0.2">
      <c r="B112" s="176">
        <v>108</v>
      </c>
      <c r="C112" s="177" t="s">
        <v>196</v>
      </c>
      <c r="D112" s="177" t="s">
        <v>197</v>
      </c>
      <c r="E112" s="178">
        <v>8</v>
      </c>
      <c r="F112" s="179">
        <v>2476.6</v>
      </c>
      <c r="G112" s="180">
        <v>2.4769999999999999</v>
      </c>
      <c r="H112" s="181" t="s">
        <v>405</v>
      </c>
      <c r="I112" s="177">
        <v>2400</v>
      </c>
      <c r="J112" s="178">
        <v>2</v>
      </c>
      <c r="K112" s="182">
        <v>2</v>
      </c>
      <c r="L112" s="179">
        <v>806</v>
      </c>
      <c r="M112" s="178">
        <v>2</v>
      </c>
      <c r="N112" s="182">
        <v>2</v>
      </c>
      <c r="O112" s="181" t="s">
        <v>420</v>
      </c>
      <c r="P112" s="181" t="s">
        <v>204</v>
      </c>
      <c r="Q112" s="183" t="s">
        <v>201</v>
      </c>
      <c r="R112" s="183">
        <v>1</v>
      </c>
      <c r="S112" s="180">
        <v>30.292045999999999</v>
      </c>
      <c r="T112" s="174">
        <v>-97.734336999999996</v>
      </c>
      <c r="U112" s="175"/>
      <c r="V112" s="175" t="s">
        <v>421</v>
      </c>
      <c r="W112" s="226"/>
    </row>
    <row r="113" spans="2:23" ht="15.75" customHeight="1" x14ac:dyDescent="0.2">
      <c r="B113" s="158">
        <v>109</v>
      </c>
      <c r="C113" s="159" t="s">
        <v>196</v>
      </c>
      <c r="D113" s="159" t="s">
        <v>197</v>
      </c>
      <c r="E113" s="160">
        <v>9</v>
      </c>
      <c r="F113" s="161">
        <v>2476.6</v>
      </c>
      <c r="G113" s="162">
        <v>2.4769999999999999</v>
      </c>
      <c r="H113" s="163" t="s">
        <v>405</v>
      </c>
      <c r="I113" s="159">
        <v>2400</v>
      </c>
      <c r="J113" s="160">
        <v>2</v>
      </c>
      <c r="K113" s="164">
        <v>2</v>
      </c>
      <c r="L113" s="161">
        <v>813</v>
      </c>
      <c r="M113" s="160">
        <v>2</v>
      </c>
      <c r="N113" s="164">
        <v>2</v>
      </c>
      <c r="O113" s="163" t="s">
        <v>422</v>
      </c>
      <c r="P113" s="163" t="s">
        <v>204</v>
      </c>
      <c r="Q113" s="165" t="s">
        <v>201</v>
      </c>
      <c r="R113" s="165">
        <v>1</v>
      </c>
      <c r="S113" s="162">
        <v>30.292045999999999</v>
      </c>
      <c r="T113" s="162">
        <v>-97.734336999999996</v>
      </c>
      <c r="U113" s="163"/>
      <c r="V113" s="163" t="s">
        <v>423</v>
      </c>
      <c r="W113" s="226"/>
    </row>
    <row r="114" spans="2:23" ht="15.75" customHeight="1" x14ac:dyDescent="0.2">
      <c r="B114" s="176">
        <v>110</v>
      </c>
      <c r="C114" s="177" t="s">
        <v>196</v>
      </c>
      <c r="D114" s="177" t="s">
        <v>197</v>
      </c>
      <c r="E114" s="178">
        <v>10</v>
      </c>
      <c r="F114" s="179">
        <v>2476.6</v>
      </c>
      <c r="G114" s="180">
        <v>2.4769999999999999</v>
      </c>
      <c r="H114" s="181" t="s">
        <v>405</v>
      </c>
      <c r="I114" s="177">
        <v>2400</v>
      </c>
      <c r="J114" s="178">
        <v>2</v>
      </c>
      <c r="K114" s="182">
        <v>2</v>
      </c>
      <c r="L114" s="179">
        <v>848</v>
      </c>
      <c r="M114" s="178">
        <v>2</v>
      </c>
      <c r="N114" s="182">
        <v>2</v>
      </c>
      <c r="O114" s="181" t="s">
        <v>424</v>
      </c>
      <c r="P114" s="181" t="s">
        <v>204</v>
      </c>
      <c r="Q114" s="183" t="s">
        <v>201</v>
      </c>
      <c r="R114" s="183">
        <v>1</v>
      </c>
      <c r="S114" s="180">
        <v>30.292045999999999</v>
      </c>
      <c r="T114" s="174">
        <v>-97.734336999999996</v>
      </c>
      <c r="U114" s="175"/>
      <c r="V114" s="175" t="s">
        <v>425</v>
      </c>
      <c r="W114" s="226"/>
    </row>
    <row r="115" spans="2:23" ht="15.75" customHeight="1" x14ac:dyDescent="0.2">
      <c r="B115" s="158">
        <v>111</v>
      </c>
      <c r="C115" s="159" t="s">
        <v>196</v>
      </c>
      <c r="D115" s="159" t="s">
        <v>197</v>
      </c>
      <c r="E115" s="160">
        <v>11</v>
      </c>
      <c r="F115" s="161">
        <v>2476.6</v>
      </c>
      <c r="G115" s="162">
        <v>2.4769999999999999</v>
      </c>
      <c r="H115" s="163" t="s">
        <v>405</v>
      </c>
      <c r="I115" s="159">
        <v>2400</v>
      </c>
      <c r="J115" s="160">
        <v>2</v>
      </c>
      <c r="K115" s="164">
        <v>2</v>
      </c>
      <c r="L115" s="161">
        <v>813</v>
      </c>
      <c r="M115" s="160">
        <v>2</v>
      </c>
      <c r="N115" s="164">
        <v>2</v>
      </c>
      <c r="O115" s="163" t="s">
        <v>426</v>
      </c>
      <c r="P115" s="163" t="s">
        <v>204</v>
      </c>
      <c r="Q115" s="165" t="s">
        <v>201</v>
      </c>
      <c r="R115" s="165">
        <v>1</v>
      </c>
      <c r="S115" s="162">
        <v>30.292045999999999</v>
      </c>
      <c r="T115" s="162">
        <v>-97.734336999999996</v>
      </c>
      <c r="U115" s="163"/>
      <c r="V115" s="163" t="s">
        <v>427</v>
      </c>
      <c r="W115" s="226"/>
    </row>
    <row r="116" spans="2:23" ht="16.5" customHeight="1" x14ac:dyDescent="0.2">
      <c r="B116" s="176">
        <v>112</v>
      </c>
      <c r="C116" s="177" t="s">
        <v>196</v>
      </c>
      <c r="D116" s="177" t="s">
        <v>197</v>
      </c>
      <c r="E116" s="178">
        <v>12</v>
      </c>
      <c r="F116" s="179">
        <v>2476.6</v>
      </c>
      <c r="G116" s="180">
        <v>2.4769999999999999</v>
      </c>
      <c r="H116" s="181" t="s">
        <v>405</v>
      </c>
      <c r="I116" s="177">
        <v>2400</v>
      </c>
      <c r="J116" s="178">
        <v>2</v>
      </c>
      <c r="K116" s="182">
        <v>2</v>
      </c>
      <c r="L116" s="179">
        <v>848</v>
      </c>
      <c r="M116" s="178">
        <v>2</v>
      </c>
      <c r="N116" s="182">
        <v>2</v>
      </c>
      <c r="O116" s="181" t="s">
        <v>428</v>
      </c>
      <c r="P116" s="181" t="s">
        <v>204</v>
      </c>
      <c r="Q116" s="183" t="s">
        <v>201</v>
      </c>
      <c r="R116" s="183">
        <v>1</v>
      </c>
      <c r="S116" s="180">
        <v>30.292045999999999</v>
      </c>
      <c r="T116" s="174">
        <v>-97.734336999999996</v>
      </c>
      <c r="U116" s="175"/>
      <c r="V116" s="175" t="s">
        <v>429</v>
      </c>
      <c r="W116" s="226"/>
    </row>
    <row r="117" spans="2:23" ht="15.75" customHeight="1" x14ac:dyDescent="0.2">
      <c r="B117" s="158">
        <v>113</v>
      </c>
      <c r="C117" s="159" t="s">
        <v>196</v>
      </c>
      <c r="D117" s="159" t="s">
        <v>197</v>
      </c>
      <c r="E117" s="160">
        <v>13</v>
      </c>
      <c r="F117" s="161">
        <v>2476.6</v>
      </c>
      <c r="G117" s="162">
        <v>2.4769999999999999</v>
      </c>
      <c r="H117" s="163" t="s">
        <v>405</v>
      </c>
      <c r="I117" s="159">
        <v>2400</v>
      </c>
      <c r="J117" s="160">
        <v>2</v>
      </c>
      <c r="K117" s="164">
        <v>2</v>
      </c>
      <c r="L117" s="161">
        <v>806</v>
      </c>
      <c r="M117" s="160">
        <v>2</v>
      </c>
      <c r="N117" s="164">
        <v>2</v>
      </c>
      <c r="O117" s="163" t="s">
        <v>430</v>
      </c>
      <c r="P117" s="163" t="s">
        <v>204</v>
      </c>
      <c r="Q117" s="165" t="s">
        <v>201</v>
      </c>
      <c r="R117" s="165">
        <v>1</v>
      </c>
      <c r="S117" s="162">
        <v>30.292045999999999</v>
      </c>
      <c r="T117" s="162">
        <v>-97.734336999999996</v>
      </c>
      <c r="U117" s="163"/>
      <c r="V117" s="163" t="s">
        <v>431</v>
      </c>
      <c r="W117" s="226"/>
    </row>
    <row r="118" spans="2:23" ht="15.75" customHeight="1" x14ac:dyDescent="0.2">
      <c r="B118" s="176">
        <v>114</v>
      </c>
      <c r="C118" s="177" t="s">
        <v>196</v>
      </c>
      <c r="D118" s="177" t="s">
        <v>197</v>
      </c>
      <c r="E118" s="178">
        <v>14</v>
      </c>
      <c r="F118" s="179">
        <v>2542.1</v>
      </c>
      <c r="G118" s="180">
        <v>2.5419999999999998</v>
      </c>
      <c r="H118" s="181" t="s">
        <v>405</v>
      </c>
      <c r="I118" s="177">
        <v>1795</v>
      </c>
      <c r="J118" s="178">
        <v>2</v>
      </c>
      <c r="K118" s="182">
        <v>2</v>
      </c>
      <c r="L118" s="179">
        <v>905</v>
      </c>
      <c r="M118" s="178">
        <v>2</v>
      </c>
      <c r="N118" s="182">
        <v>2</v>
      </c>
      <c r="O118" s="181" t="s">
        <v>432</v>
      </c>
      <c r="P118" s="181" t="s">
        <v>221</v>
      </c>
      <c r="Q118" s="183" t="s">
        <v>201</v>
      </c>
      <c r="R118" s="183">
        <v>1</v>
      </c>
      <c r="S118" s="180">
        <v>30.285637999999999</v>
      </c>
      <c r="T118" s="174">
        <v>-97.745706999999996</v>
      </c>
      <c r="U118" s="175"/>
      <c r="V118" s="175" t="s">
        <v>433</v>
      </c>
      <c r="W118" s="226"/>
    </row>
    <row r="119" spans="2:23" ht="15.75" customHeight="1" x14ac:dyDescent="0.2">
      <c r="B119" s="158">
        <v>115</v>
      </c>
      <c r="C119" s="159" t="s">
        <v>196</v>
      </c>
      <c r="D119" s="159" t="s">
        <v>197</v>
      </c>
      <c r="E119" s="160">
        <v>15</v>
      </c>
      <c r="F119" s="161">
        <v>2608.6</v>
      </c>
      <c r="G119" s="162">
        <v>2.609</v>
      </c>
      <c r="H119" s="163" t="s">
        <v>405</v>
      </c>
      <c r="I119" s="159">
        <v>1744</v>
      </c>
      <c r="J119" s="160">
        <v>2</v>
      </c>
      <c r="K119" s="164">
        <v>2</v>
      </c>
      <c r="L119" s="161">
        <v>885</v>
      </c>
      <c r="M119" s="160">
        <v>2</v>
      </c>
      <c r="N119" s="164">
        <v>2</v>
      </c>
      <c r="O119" s="163" t="s">
        <v>434</v>
      </c>
      <c r="P119" s="163" t="s">
        <v>200</v>
      </c>
      <c r="Q119" s="165" t="s">
        <v>201</v>
      </c>
      <c r="R119" s="165">
        <v>1</v>
      </c>
      <c r="S119" s="162">
        <v>30.290749000000002</v>
      </c>
      <c r="T119" s="162">
        <v>-97.771500000000003</v>
      </c>
      <c r="U119" s="163"/>
      <c r="V119" s="163" t="s">
        <v>435</v>
      </c>
      <c r="W119" s="226"/>
    </row>
    <row r="120" spans="2:23" ht="16.5" customHeight="1" x14ac:dyDescent="0.2">
      <c r="B120" s="176">
        <v>116</v>
      </c>
      <c r="C120" s="177" t="s">
        <v>196</v>
      </c>
      <c r="D120" s="177" t="s">
        <v>197</v>
      </c>
      <c r="E120" s="178">
        <v>16</v>
      </c>
      <c r="F120" s="179">
        <v>3807.5</v>
      </c>
      <c r="G120" s="180">
        <v>3.8069999999999999</v>
      </c>
      <c r="H120" s="181" t="s">
        <v>405</v>
      </c>
      <c r="I120" s="177">
        <v>2699</v>
      </c>
      <c r="J120" s="178">
        <v>2</v>
      </c>
      <c r="K120" s="182">
        <v>2</v>
      </c>
      <c r="L120" s="179">
        <v>1170</v>
      </c>
      <c r="M120" s="178">
        <v>2</v>
      </c>
      <c r="N120" s="182">
        <v>2</v>
      </c>
      <c r="O120" s="181" t="s">
        <v>436</v>
      </c>
      <c r="P120" s="181" t="s">
        <v>200</v>
      </c>
      <c r="Q120" s="183" t="s">
        <v>201</v>
      </c>
      <c r="R120" s="183">
        <v>1</v>
      </c>
      <c r="S120" s="180">
        <v>30.330361</v>
      </c>
      <c r="T120" s="174">
        <v>-97.722977</v>
      </c>
      <c r="U120" s="175"/>
      <c r="V120" s="175" t="s">
        <v>437</v>
      </c>
      <c r="W120" s="226"/>
    </row>
    <row r="121" spans="2:23" ht="15.75" customHeight="1" x14ac:dyDescent="0.2">
      <c r="B121" s="158">
        <v>117</v>
      </c>
      <c r="C121" s="159" t="s">
        <v>196</v>
      </c>
      <c r="D121" s="159" t="s">
        <v>197</v>
      </c>
      <c r="E121" s="160">
        <v>17</v>
      </c>
      <c r="F121" s="161">
        <v>4064.9</v>
      </c>
      <c r="G121" s="162">
        <v>4.0650000000000004</v>
      </c>
      <c r="H121" s="163" t="s">
        <v>405</v>
      </c>
      <c r="I121" s="159">
        <v>1400</v>
      </c>
      <c r="J121" s="160">
        <v>2</v>
      </c>
      <c r="K121" s="164">
        <v>2</v>
      </c>
      <c r="L121" s="161">
        <v>855</v>
      </c>
      <c r="M121" s="160">
        <v>2</v>
      </c>
      <c r="N121" s="164">
        <v>2</v>
      </c>
      <c r="O121" s="163" t="s">
        <v>438</v>
      </c>
      <c r="P121" s="163" t="s">
        <v>221</v>
      </c>
      <c r="Q121" s="165" t="s">
        <v>201</v>
      </c>
      <c r="R121" s="165">
        <v>1</v>
      </c>
      <c r="S121" s="162">
        <v>30.331702</v>
      </c>
      <c r="T121" s="162">
        <v>-97.720770999999999</v>
      </c>
      <c r="U121" s="163"/>
      <c r="V121" s="163" t="s">
        <v>439</v>
      </c>
      <c r="W121" s="226"/>
    </row>
    <row r="122" spans="2:23" ht="15.75" customHeight="1" x14ac:dyDescent="0.2">
      <c r="B122" s="176">
        <v>118</v>
      </c>
      <c r="C122" s="177" t="s">
        <v>196</v>
      </c>
      <c r="D122" s="177" t="s">
        <v>197</v>
      </c>
      <c r="E122" s="178">
        <v>18</v>
      </c>
      <c r="F122" s="179">
        <v>4327</v>
      </c>
      <c r="G122" s="180">
        <v>4.327</v>
      </c>
      <c r="H122" s="181" t="s">
        <v>405</v>
      </c>
      <c r="I122" s="177">
        <v>3595</v>
      </c>
      <c r="J122" s="178">
        <v>2</v>
      </c>
      <c r="K122" s="182">
        <v>2</v>
      </c>
      <c r="L122" s="179">
        <v>1038</v>
      </c>
      <c r="M122" s="178">
        <v>2</v>
      </c>
      <c r="N122" s="182">
        <v>2</v>
      </c>
      <c r="O122" s="181" t="s">
        <v>440</v>
      </c>
      <c r="P122" s="181" t="s">
        <v>204</v>
      </c>
      <c r="Q122" s="183" t="s">
        <v>201</v>
      </c>
      <c r="R122" s="183">
        <v>1</v>
      </c>
      <c r="S122" s="180">
        <v>30.268788000000001</v>
      </c>
      <c r="T122" s="174">
        <v>-97.753924999999995</v>
      </c>
      <c r="U122" s="175"/>
      <c r="V122" s="175" t="s">
        <v>441</v>
      </c>
      <c r="W122" s="226"/>
    </row>
    <row r="123" spans="2:23" ht="15.75" customHeight="1" x14ac:dyDescent="0.2">
      <c r="B123" s="158">
        <v>119</v>
      </c>
      <c r="C123" s="159" t="s">
        <v>196</v>
      </c>
      <c r="D123" s="159" t="s">
        <v>197</v>
      </c>
      <c r="E123" s="160">
        <v>19</v>
      </c>
      <c r="F123" s="161">
        <v>4327.3</v>
      </c>
      <c r="G123" s="162">
        <v>4.327</v>
      </c>
      <c r="H123" s="163" t="s">
        <v>405</v>
      </c>
      <c r="I123" s="159">
        <v>3275</v>
      </c>
      <c r="J123" s="160">
        <v>2</v>
      </c>
      <c r="K123" s="164">
        <v>2</v>
      </c>
      <c r="L123" s="161">
        <v>1279</v>
      </c>
      <c r="M123" s="160">
        <v>2</v>
      </c>
      <c r="N123" s="164">
        <v>2</v>
      </c>
      <c r="O123" s="163" t="s">
        <v>442</v>
      </c>
      <c r="P123" s="163" t="s">
        <v>204</v>
      </c>
      <c r="Q123" s="165" t="s">
        <v>201</v>
      </c>
      <c r="R123" s="165">
        <v>1</v>
      </c>
      <c r="S123" s="162">
        <v>30.268785000000001</v>
      </c>
      <c r="T123" s="162">
        <v>-97.753922000000003</v>
      </c>
      <c r="U123" s="163"/>
      <c r="V123" s="163" t="s">
        <v>443</v>
      </c>
      <c r="W123" s="226"/>
    </row>
    <row r="124" spans="2:23" ht="16.5" customHeight="1" x14ac:dyDescent="0.2">
      <c r="B124" s="176">
        <v>120</v>
      </c>
      <c r="C124" s="177" t="s">
        <v>196</v>
      </c>
      <c r="D124" s="177" t="s">
        <v>197</v>
      </c>
      <c r="E124" s="178">
        <v>20</v>
      </c>
      <c r="F124" s="179">
        <v>4345.3</v>
      </c>
      <c r="G124" s="180">
        <v>4.3449999999999998</v>
      </c>
      <c r="H124" s="181" t="s">
        <v>405</v>
      </c>
      <c r="I124" s="177">
        <v>2880</v>
      </c>
      <c r="J124" s="178">
        <v>2</v>
      </c>
      <c r="K124" s="182">
        <v>2</v>
      </c>
      <c r="L124" s="179">
        <v>1262</v>
      </c>
      <c r="M124" s="178">
        <v>2</v>
      </c>
      <c r="N124" s="182">
        <v>2</v>
      </c>
      <c r="O124" s="181" t="s">
        <v>444</v>
      </c>
      <c r="P124" s="181" t="s">
        <v>204</v>
      </c>
      <c r="Q124" s="183" t="s">
        <v>201</v>
      </c>
      <c r="R124" s="183">
        <v>1</v>
      </c>
      <c r="S124" s="180">
        <v>30.269974000000001</v>
      </c>
      <c r="T124" s="174">
        <v>-97.740844999999993</v>
      </c>
      <c r="U124" s="175"/>
      <c r="V124" s="175" t="s">
        <v>445</v>
      </c>
      <c r="W124" s="226"/>
    </row>
    <row r="125" spans="2:23" ht="16.5" customHeight="1" x14ac:dyDescent="0.2">
      <c r="B125" s="158">
        <v>121</v>
      </c>
      <c r="C125" s="159" t="s">
        <v>196</v>
      </c>
      <c r="D125" s="159" t="s">
        <v>197</v>
      </c>
      <c r="E125" s="160">
        <v>21</v>
      </c>
      <c r="F125" s="161">
        <v>4403.8999999999996</v>
      </c>
      <c r="G125" s="162">
        <v>4.4039999999999999</v>
      </c>
      <c r="H125" s="163" t="s">
        <v>405</v>
      </c>
      <c r="I125" s="159">
        <v>2355</v>
      </c>
      <c r="J125" s="160">
        <v>2</v>
      </c>
      <c r="K125" s="164">
        <v>2</v>
      </c>
      <c r="L125" s="161">
        <v>1289</v>
      </c>
      <c r="M125" s="160">
        <v>2</v>
      </c>
      <c r="N125" s="164">
        <v>2</v>
      </c>
      <c r="O125" s="163" t="s">
        <v>446</v>
      </c>
      <c r="P125" s="163" t="s">
        <v>204</v>
      </c>
      <c r="Q125" s="165" t="s">
        <v>201</v>
      </c>
      <c r="R125" s="165">
        <v>1</v>
      </c>
      <c r="S125" s="162">
        <v>30.268090999999998</v>
      </c>
      <c r="T125" s="162">
        <v>-97.751723999999996</v>
      </c>
      <c r="U125" s="163"/>
      <c r="V125" s="163" t="s">
        <v>447</v>
      </c>
      <c r="W125" s="226"/>
    </row>
    <row r="126" spans="2:23" ht="15.75" customHeight="1" x14ac:dyDescent="0.2">
      <c r="B126" s="176">
        <v>122</v>
      </c>
      <c r="C126" s="177" t="s">
        <v>196</v>
      </c>
      <c r="D126" s="177" t="s">
        <v>197</v>
      </c>
      <c r="E126" s="178">
        <v>22</v>
      </c>
      <c r="F126" s="179">
        <v>4543.8999999999996</v>
      </c>
      <c r="G126" s="180">
        <v>4.5439999999999996</v>
      </c>
      <c r="H126" s="181" t="s">
        <v>405</v>
      </c>
      <c r="I126" s="177">
        <v>2456</v>
      </c>
      <c r="J126" s="178">
        <v>2</v>
      </c>
      <c r="K126" s="182">
        <v>2</v>
      </c>
      <c r="L126" s="179">
        <v>1148</v>
      </c>
      <c r="M126" s="178">
        <v>2</v>
      </c>
      <c r="N126" s="182">
        <v>2</v>
      </c>
      <c r="O126" s="181" t="s">
        <v>448</v>
      </c>
      <c r="P126" s="181" t="s">
        <v>200</v>
      </c>
      <c r="Q126" s="183" t="s">
        <v>201</v>
      </c>
      <c r="R126" s="183">
        <v>1</v>
      </c>
      <c r="S126" s="180">
        <v>30.269532999999999</v>
      </c>
      <c r="T126" s="174">
        <v>-97.735754999999997</v>
      </c>
      <c r="U126" s="175"/>
      <c r="V126" s="175" t="s">
        <v>449</v>
      </c>
      <c r="W126" s="226"/>
    </row>
    <row r="127" spans="2:23" ht="15.75" customHeight="1" x14ac:dyDescent="0.2">
      <c r="B127" s="158">
        <v>123</v>
      </c>
      <c r="C127" s="159" t="s">
        <v>196</v>
      </c>
      <c r="D127" s="159" t="s">
        <v>197</v>
      </c>
      <c r="E127" s="160">
        <v>23</v>
      </c>
      <c r="F127" s="161">
        <v>4758.3999999999996</v>
      </c>
      <c r="G127" s="162">
        <v>4.758</v>
      </c>
      <c r="H127" s="163" t="s">
        <v>405</v>
      </c>
      <c r="I127" s="159">
        <v>2450</v>
      </c>
      <c r="J127" s="160">
        <v>2</v>
      </c>
      <c r="K127" s="164">
        <v>2</v>
      </c>
      <c r="L127" s="161">
        <v>1335</v>
      </c>
      <c r="M127" s="160">
        <v>2</v>
      </c>
      <c r="N127" s="164">
        <v>2</v>
      </c>
      <c r="O127" s="163" t="s">
        <v>450</v>
      </c>
      <c r="P127" s="163" t="s">
        <v>204</v>
      </c>
      <c r="Q127" s="165" t="s">
        <v>201</v>
      </c>
      <c r="R127" s="165">
        <v>1</v>
      </c>
      <c r="S127" s="162">
        <v>30.268574000000001</v>
      </c>
      <c r="T127" s="162">
        <v>-97.732596999999998</v>
      </c>
      <c r="U127" s="163"/>
      <c r="V127" s="163" t="s">
        <v>451</v>
      </c>
      <c r="W127" s="226"/>
    </row>
    <row r="128" spans="2:23" ht="16.5" customHeight="1" x14ac:dyDescent="0.2">
      <c r="B128" s="176">
        <v>124</v>
      </c>
      <c r="C128" s="177" t="s">
        <v>196</v>
      </c>
      <c r="D128" s="177" t="s">
        <v>197</v>
      </c>
      <c r="E128" s="178">
        <v>24</v>
      </c>
      <c r="F128" s="179">
        <v>4855.8999999999996</v>
      </c>
      <c r="G128" s="180">
        <v>4.8559999999999999</v>
      </c>
      <c r="H128" s="181" t="s">
        <v>405</v>
      </c>
      <c r="I128" s="177">
        <v>3300</v>
      </c>
      <c r="J128" s="178">
        <v>2</v>
      </c>
      <c r="K128" s="182">
        <v>2</v>
      </c>
      <c r="L128" s="179">
        <v>1284</v>
      </c>
      <c r="M128" s="178">
        <v>2</v>
      </c>
      <c r="N128" s="182">
        <v>2</v>
      </c>
      <c r="O128" s="181" t="s">
        <v>452</v>
      </c>
      <c r="P128" s="181" t="s">
        <v>204</v>
      </c>
      <c r="Q128" s="183" t="s">
        <v>201</v>
      </c>
      <c r="R128" s="183">
        <v>1</v>
      </c>
      <c r="S128" s="180">
        <v>30.264605</v>
      </c>
      <c r="T128" s="174">
        <v>-97.744431000000006</v>
      </c>
      <c r="U128" s="175"/>
      <c r="V128" s="175" t="s">
        <v>453</v>
      </c>
      <c r="W128" s="226"/>
    </row>
    <row r="129" spans="2:23" ht="15.75" customHeight="1" x14ac:dyDescent="0.2">
      <c r="B129" s="158">
        <v>125</v>
      </c>
      <c r="C129" s="159" t="s">
        <v>196</v>
      </c>
      <c r="D129" s="159" t="s">
        <v>197</v>
      </c>
      <c r="E129" s="160">
        <v>25</v>
      </c>
      <c r="F129" s="161">
        <v>5060.1000000000004</v>
      </c>
      <c r="G129" s="162">
        <v>5.0599999999999996</v>
      </c>
      <c r="H129" s="163" t="s">
        <v>405</v>
      </c>
      <c r="I129" s="159">
        <v>1700</v>
      </c>
      <c r="J129" s="160">
        <v>2</v>
      </c>
      <c r="K129" s="164">
        <v>2</v>
      </c>
      <c r="L129" s="161">
        <v>967</v>
      </c>
      <c r="M129" s="160">
        <v>2</v>
      </c>
      <c r="N129" s="164">
        <v>2</v>
      </c>
      <c r="O129" s="163" t="s">
        <v>454</v>
      </c>
      <c r="P129" s="163" t="s">
        <v>221</v>
      </c>
      <c r="Q129" s="165" t="s">
        <v>201</v>
      </c>
      <c r="R129" s="165">
        <v>1</v>
      </c>
      <c r="S129" s="162">
        <v>30.352847000000001</v>
      </c>
      <c r="T129" s="162">
        <v>-97.759198999999995</v>
      </c>
      <c r="U129" s="163"/>
      <c r="V129" s="163" t="s">
        <v>455</v>
      </c>
      <c r="W129" s="226"/>
    </row>
    <row r="130" spans="2:23" ht="15.75" customHeight="1" x14ac:dyDescent="0.2">
      <c r="B130" s="176">
        <v>126</v>
      </c>
      <c r="C130" s="177" t="s">
        <v>196</v>
      </c>
      <c r="D130" s="177" t="s">
        <v>197</v>
      </c>
      <c r="E130" s="178">
        <v>26</v>
      </c>
      <c r="F130" s="179">
        <v>5588</v>
      </c>
      <c r="G130" s="180">
        <v>5.5880000000000001</v>
      </c>
      <c r="H130" s="181" t="s">
        <v>405</v>
      </c>
      <c r="I130" s="177">
        <v>2300</v>
      </c>
      <c r="J130" s="178">
        <v>2</v>
      </c>
      <c r="K130" s="182">
        <v>2</v>
      </c>
      <c r="L130" s="179">
        <v>1274</v>
      </c>
      <c r="M130" s="178">
        <v>2</v>
      </c>
      <c r="N130" s="182">
        <v>2</v>
      </c>
      <c r="O130" s="181" t="s">
        <v>456</v>
      </c>
      <c r="P130" s="181" t="s">
        <v>204</v>
      </c>
      <c r="Q130" s="183" t="s">
        <v>201</v>
      </c>
      <c r="R130" s="183">
        <v>1</v>
      </c>
      <c r="S130" s="180">
        <v>30.26305</v>
      </c>
      <c r="T130" s="174">
        <v>-97.725966999999997</v>
      </c>
      <c r="U130" s="175"/>
      <c r="V130" s="175" t="s">
        <v>457</v>
      </c>
      <c r="W130" s="226"/>
    </row>
    <row r="131" spans="2:23" ht="15.75" customHeight="1" x14ac:dyDescent="0.2">
      <c r="B131" s="158">
        <v>127</v>
      </c>
      <c r="C131" s="159" t="s">
        <v>196</v>
      </c>
      <c r="D131" s="159" t="s">
        <v>197</v>
      </c>
      <c r="E131" s="160">
        <v>27</v>
      </c>
      <c r="F131" s="161">
        <v>5636.1</v>
      </c>
      <c r="G131" s="162">
        <v>5.6360000000000001</v>
      </c>
      <c r="H131" s="163" t="s">
        <v>405</v>
      </c>
      <c r="I131" s="159">
        <v>3000</v>
      </c>
      <c r="J131" s="160">
        <v>2</v>
      </c>
      <c r="K131" s="164">
        <v>2</v>
      </c>
      <c r="L131" s="161">
        <v>1305</v>
      </c>
      <c r="M131" s="160">
        <v>2</v>
      </c>
      <c r="N131" s="164">
        <v>2</v>
      </c>
      <c r="O131" s="163" t="s">
        <v>458</v>
      </c>
      <c r="P131" s="163" t="s">
        <v>204</v>
      </c>
      <c r="Q131" s="165" t="s">
        <v>201</v>
      </c>
      <c r="R131" s="165">
        <v>1</v>
      </c>
      <c r="S131" s="162">
        <v>30.258392000000001</v>
      </c>
      <c r="T131" s="162">
        <v>-97.739044000000007</v>
      </c>
      <c r="U131" s="163"/>
      <c r="V131" s="163" t="s">
        <v>459</v>
      </c>
      <c r="W131" s="226"/>
    </row>
    <row r="132" spans="2:23" ht="16.5" customHeight="1" x14ac:dyDescent="0.2">
      <c r="B132" s="176">
        <v>128</v>
      </c>
      <c r="C132" s="177" t="s">
        <v>196</v>
      </c>
      <c r="D132" s="177" t="s">
        <v>197</v>
      </c>
      <c r="E132" s="178">
        <v>28</v>
      </c>
      <c r="F132" s="179">
        <v>5737.4</v>
      </c>
      <c r="G132" s="180">
        <v>5.7370000000000001</v>
      </c>
      <c r="H132" s="181" t="s">
        <v>405</v>
      </c>
      <c r="I132" s="177">
        <v>2695</v>
      </c>
      <c r="J132" s="178">
        <v>2</v>
      </c>
      <c r="K132" s="182">
        <v>2</v>
      </c>
      <c r="L132" s="179">
        <v>1284</v>
      </c>
      <c r="M132" s="178">
        <v>2</v>
      </c>
      <c r="N132" s="182">
        <v>2</v>
      </c>
      <c r="O132" s="181" t="s">
        <v>460</v>
      </c>
      <c r="P132" s="181" t="s">
        <v>204</v>
      </c>
      <c r="Q132" s="183" t="s">
        <v>201</v>
      </c>
      <c r="R132" s="183">
        <v>1</v>
      </c>
      <c r="S132" s="180">
        <v>30.257377999999999</v>
      </c>
      <c r="T132" s="174">
        <v>-97.739433000000005</v>
      </c>
      <c r="U132" s="175"/>
      <c r="V132" s="175" t="s">
        <v>461</v>
      </c>
      <c r="W132" s="226"/>
    </row>
    <row r="133" spans="2:23" ht="15.75" customHeight="1" x14ac:dyDescent="0.2">
      <c r="B133" s="158">
        <v>129</v>
      </c>
      <c r="C133" s="159" t="s">
        <v>196</v>
      </c>
      <c r="D133" s="159" t="s">
        <v>197</v>
      </c>
      <c r="E133" s="160">
        <v>29</v>
      </c>
      <c r="F133" s="161">
        <v>5753.8</v>
      </c>
      <c r="G133" s="162">
        <v>5.7539999999999996</v>
      </c>
      <c r="H133" s="163" t="s">
        <v>405</v>
      </c>
      <c r="I133" s="159">
        <v>1850</v>
      </c>
      <c r="J133" s="160">
        <v>2</v>
      </c>
      <c r="K133" s="164">
        <v>2</v>
      </c>
      <c r="L133" s="161">
        <v>966</v>
      </c>
      <c r="M133" s="160">
        <v>2</v>
      </c>
      <c r="N133" s="164">
        <v>2</v>
      </c>
      <c r="O133" s="163" t="s">
        <v>462</v>
      </c>
      <c r="P133" s="163" t="s">
        <v>221</v>
      </c>
      <c r="Q133" s="165" t="s">
        <v>201</v>
      </c>
      <c r="R133" s="165">
        <v>1</v>
      </c>
      <c r="S133" s="162">
        <v>30.255946000000002</v>
      </c>
      <c r="T133" s="162">
        <v>-97.752001000000007</v>
      </c>
      <c r="U133" s="163"/>
      <c r="V133" s="163" t="s">
        <v>463</v>
      </c>
      <c r="W133" s="226"/>
    </row>
    <row r="134" spans="2:23" ht="15.75" customHeight="1" x14ac:dyDescent="0.2">
      <c r="B134" s="176">
        <v>130</v>
      </c>
      <c r="C134" s="177" t="s">
        <v>196</v>
      </c>
      <c r="D134" s="177" t="s">
        <v>197</v>
      </c>
      <c r="E134" s="178">
        <v>30</v>
      </c>
      <c r="F134" s="179">
        <v>6835.1</v>
      </c>
      <c r="G134" s="180">
        <v>6.835</v>
      </c>
      <c r="H134" s="181" t="s">
        <v>405</v>
      </c>
      <c r="I134" s="177">
        <v>1364</v>
      </c>
      <c r="J134" s="178">
        <v>2</v>
      </c>
      <c r="K134" s="182">
        <v>2</v>
      </c>
      <c r="L134" s="179">
        <v>1139</v>
      </c>
      <c r="M134" s="178">
        <v>2</v>
      </c>
      <c r="N134" s="182">
        <v>2</v>
      </c>
      <c r="O134" s="181" t="s">
        <v>464</v>
      </c>
      <c r="P134" s="181" t="s">
        <v>200</v>
      </c>
      <c r="Q134" s="183" t="s">
        <v>201</v>
      </c>
      <c r="R134" s="183">
        <v>1</v>
      </c>
      <c r="S134" s="180">
        <v>30.368883</v>
      </c>
      <c r="T134" s="174">
        <v>-97.745979000000005</v>
      </c>
      <c r="U134" s="175"/>
      <c r="V134" s="175" t="s">
        <v>465</v>
      </c>
      <c r="W134" s="226"/>
    </row>
    <row r="135" spans="2:23" ht="15.75" customHeight="1" x14ac:dyDescent="0.2">
      <c r="B135" s="158">
        <v>131</v>
      </c>
      <c r="C135" s="159" t="s">
        <v>196</v>
      </c>
      <c r="D135" s="159" t="s">
        <v>197</v>
      </c>
      <c r="E135" s="160">
        <v>31</v>
      </c>
      <c r="F135" s="161">
        <v>6835.1</v>
      </c>
      <c r="G135" s="162">
        <v>6.835</v>
      </c>
      <c r="H135" s="163" t="s">
        <v>405</v>
      </c>
      <c r="I135" s="159">
        <v>1409</v>
      </c>
      <c r="J135" s="160">
        <v>2</v>
      </c>
      <c r="K135" s="164">
        <v>2</v>
      </c>
      <c r="L135" s="161">
        <v>1139</v>
      </c>
      <c r="M135" s="160">
        <v>2</v>
      </c>
      <c r="N135" s="164">
        <v>2</v>
      </c>
      <c r="O135" s="163" t="s">
        <v>466</v>
      </c>
      <c r="P135" s="163" t="s">
        <v>200</v>
      </c>
      <c r="Q135" s="165" t="s">
        <v>201</v>
      </c>
      <c r="R135" s="165">
        <v>1</v>
      </c>
      <c r="S135" s="162">
        <v>30.368883</v>
      </c>
      <c r="T135" s="162">
        <v>-97.745979000000005</v>
      </c>
      <c r="U135" s="163"/>
      <c r="V135" s="163" t="s">
        <v>467</v>
      </c>
      <c r="W135" s="226"/>
    </row>
    <row r="136" spans="2:23" ht="16.5" customHeight="1" x14ac:dyDescent="0.2">
      <c r="B136" s="176">
        <v>132</v>
      </c>
      <c r="C136" s="177" t="s">
        <v>196</v>
      </c>
      <c r="D136" s="177" t="s">
        <v>197</v>
      </c>
      <c r="E136" s="178">
        <v>32</v>
      </c>
      <c r="F136" s="179">
        <v>6845.3</v>
      </c>
      <c r="G136" s="180">
        <v>6.8449999999999998</v>
      </c>
      <c r="H136" s="181" t="s">
        <v>405</v>
      </c>
      <c r="I136" s="177">
        <v>1095</v>
      </c>
      <c r="J136" s="178">
        <v>2</v>
      </c>
      <c r="K136" s="182">
        <v>2</v>
      </c>
      <c r="L136" s="179">
        <v>1095</v>
      </c>
      <c r="M136" s="178">
        <v>2</v>
      </c>
      <c r="N136" s="182">
        <v>2</v>
      </c>
      <c r="O136" s="181" t="s">
        <v>468</v>
      </c>
      <c r="P136" s="181" t="s">
        <v>200</v>
      </c>
      <c r="Q136" s="183" t="s">
        <v>201</v>
      </c>
      <c r="R136" s="183">
        <v>1</v>
      </c>
      <c r="S136" s="180">
        <v>30.321679</v>
      </c>
      <c r="T136" s="174">
        <v>-97.683255000000003</v>
      </c>
      <c r="U136" s="175"/>
      <c r="V136" s="175" t="s">
        <v>469</v>
      </c>
      <c r="W136" s="226"/>
    </row>
    <row r="137" spans="2:23" ht="15.75" customHeight="1" x14ac:dyDescent="0.2">
      <c r="B137" s="158">
        <v>133</v>
      </c>
      <c r="C137" s="159" t="s">
        <v>196</v>
      </c>
      <c r="D137" s="159" t="s">
        <v>197</v>
      </c>
      <c r="E137" s="160">
        <v>33</v>
      </c>
      <c r="F137" s="161">
        <v>6923.2</v>
      </c>
      <c r="G137" s="162">
        <v>6.923</v>
      </c>
      <c r="H137" s="163" t="s">
        <v>405</v>
      </c>
      <c r="I137" s="159">
        <v>1236</v>
      </c>
      <c r="J137" s="160">
        <v>2</v>
      </c>
      <c r="K137" s="164">
        <v>2</v>
      </c>
      <c r="L137" s="161">
        <v>1000</v>
      </c>
      <c r="M137" s="160">
        <v>2</v>
      </c>
      <c r="N137" s="164">
        <v>2</v>
      </c>
      <c r="O137" s="163" t="s">
        <v>470</v>
      </c>
      <c r="P137" s="163" t="s">
        <v>200</v>
      </c>
      <c r="Q137" s="165" t="s">
        <v>201</v>
      </c>
      <c r="R137" s="165">
        <v>1</v>
      </c>
      <c r="S137" s="162">
        <v>30.366816</v>
      </c>
      <c r="T137" s="162">
        <v>-97.730103</v>
      </c>
      <c r="U137" s="163"/>
      <c r="V137" s="163" t="s">
        <v>471</v>
      </c>
      <c r="W137" s="226"/>
    </row>
    <row r="138" spans="2:23" ht="15.75" customHeight="1" x14ac:dyDescent="0.2">
      <c r="B138" s="176">
        <v>134</v>
      </c>
      <c r="C138" s="177" t="s">
        <v>196</v>
      </c>
      <c r="D138" s="177" t="s">
        <v>197</v>
      </c>
      <c r="E138" s="178">
        <v>34</v>
      </c>
      <c r="F138" s="179">
        <v>7171.6</v>
      </c>
      <c r="G138" s="180">
        <v>7.1719999999999997</v>
      </c>
      <c r="H138" s="181" t="s">
        <v>405</v>
      </c>
      <c r="I138" s="177">
        <v>1095</v>
      </c>
      <c r="J138" s="178">
        <v>2</v>
      </c>
      <c r="K138" s="182">
        <v>2</v>
      </c>
      <c r="L138" s="179">
        <v>1096</v>
      </c>
      <c r="M138" s="178">
        <v>2</v>
      </c>
      <c r="N138" s="182">
        <v>2</v>
      </c>
      <c r="O138" s="181" t="s">
        <v>472</v>
      </c>
      <c r="P138" s="181" t="s">
        <v>204</v>
      </c>
      <c r="Q138" s="183" t="s">
        <v>201</v>
      </c>
      <c r="R138" s="183">
        <v>1</v>
      </c>
      <c r="S138" s="180">
        <v>30.366510999999999</v>
      </c>
      <c r="T138" s="174">
        <v>-97.722055999999995</v>
      </c>
      <c r="U138" s="175"/>
      <c r="V138" s="175" t="s">
        <v>473</v>
      </c>
      <c r="W138" s="226"/>
    </row>
    <row r="139" spans="2:23" ht="15.75" customHeight="1" x14ac:dyDescent="0.2">
      <c r="B139" s="158">
        <v>135</v>
      </c>
      <c r="C139" s="159" t="s">
        <v>196</v>
      </c>
      <c r="D139" s="159" t="s">
        <v>197</v>
      </c>
      <c r="E139" s="160">
        <v>35</v>
      </c>
      <c r="F139" s="161">
        <v>7537</v>
      </c>
      <c r="G139" s="162">
        <v>7.5369999999999999</v>
      </c>
      <c r="H139" s="163" t="s">
        <v>405</v>
      </c>
      <c r="I139" s="159">
        <v>2000</v>
      </c>
      <c r="J139" s="160">
        <v>2</v>
      </c>
      <c r="K139" s="164">
        <v>2</v>
      </c>
      <c r="L139" s="161">
        <v>1265</v>
      </c>
      <c r="M139" s="160">
        <v>2</v>
      </c>
      <c r="N139" s="164">
        <v>2</v>
      </c>
      <c r="O139" s="163" t="s">
        <v>474</v>
      </c>
      <c r="P139" s="163" t="s">
        <v>204</v>
      </c>
      <c r="Q139" s="165" t="s">
        <v>201</v>
      </c>
      <c r="R139" s="165">
        <v>1</v>
      </c>
      <c r="S139" s="162">
        <v>30.239909999999998</v>
      </c>
      <c r="T139" s="162">
        <v>-97.751846</v>
      </c>
      <c r="U139" s="163"/>
      <c r="V139" s="163" t="s">
        <v>475</v>
      </c>
      <c r="W139" s="226"/>
    </row>
    <row r="140" spans="2:23" ht="16.5" customHeight="1" x14ac:dyDescent="0.2">
      <c r="B140" s="176">
        <v>136</v>
      </c>
      <c r="C140" s="177" t="s">
        <v>196</v>
      </c>
      <c r="D140" s="177" t="s">
        <v>197</v>
      </c>
      <c r="E140" s="178">
        <v>36</v>
      </c>
      <c r="F140" s="179">
        <v>7821.5</v>
      </c>
      <c r="G140" s="180">
        <v>7.8209999999999997</v>
      </c>
      <c r="H140" s="181" t="s">
        <v>405</v>
      </c>
      <c r="I140" s="177">
        <v>1850</v>
      </c>
      <c r="J140" s="178">
        <v>2</v>
      </c>
      <c r="K140" s="182">
        <v>2</v>
      </c>
      <c r="L140" s="179">
        <v>1202</v>
      </c>
      <c r="M140" s="178">
        <v>2</v>
      </c>
      <c r="N140" s="182">
        <v>2</v>
      </c>
      <c r="O140" s="181" t="s">
        <v>476</v>
      </c>
      <c r="P140" s="181" t="s">
        <v>204</v>
      </c>
      <c r="Q140" s="183" t="s">
        <v>201</v>
      </c>
      <c r="R140" s="183">
        <v>1</v>
      </c>
      <c r="S140" s="180">
        <v>30.238579000000001</v>
      </c>
      <c r="T140" s="174">
        <v>-97.767876000000001</v>
      </c>
      <c r="U140" s="175"/>
      <c r="V140" s="175" t="s">
        <v>477</v>
      </c>
      <c r="W140" s="226"/>
    </row>
    <row r="141" spans="2:23" ht="16.5" customHeight="1" x14ac:dyDescent="0.2">
      <c r="B141" s="158">
        <v>137</v>
      </c>
      <c r="C141" s="159" t="s">
        <v>196</v>
      </c>
      <c r="D141" s="159" t="s">
        <v>197</v>
      </c>
      <c r="E141" s="160">
        <v>37</v>
      </c>
      <c r="F141" s="161">
        <v>7833.2</v>
      </c>
      <c r="G141" s="162">
        <v>7.8330000000000002</v>
      </c>
      <c r="H141" s="163" t="s">
        <v>405</v>
      </c>
      <c r="I141" s="159">
        <v>2100</v>
      </c>
      <c r="J141" s="160">
        <v>2</v>
      </c>
      <c r="K141" s="164">
        <v>2</v>
      </c>
      <c r="L141" s="161">
        <v>1255</v>
      </c>
      <c r="M141" s="160">
        <v>2</v>
      </c>
      <c r="N141" s="164">
        <v>2</v>
      </c>
      <c r="O141" s="163" t="s">
        <v>478</v>
      </c>
      <c r="P141" s="163" t="s">
        <v>204</v>
      </c>
      <c r="Q141" s="165" t="s">
        <v>201</v>
      </c>
      <c r="R141" s="165">
        <v>1</v>
      </c>
      <c r="S141" s="162">
        <v>30.238427999999999</v>
      </c>
      <c r="T141" s="162">
        <v>-97.767608999999993</v>
      </c>
      <c r="U141" s="163"/>
      <c r="V141" s="163" t="s">
        <v>479</v>
      </c>
      <c r="W141" s="226"/>
    </row>
    <row r="142" spans="2:23" ht="15.75" customHeight="1" x14ac:dyDescent="0.2">
      <c r="B142" s="176">
        <v>138</v>
      </c>
      <c r="C142" s="177" t="s">
        <v>196</v>
      </c>
      <c r="D142" s="177" t="s">
        <v>197</v>
      </c>
      <c r="E142" s="178">
        <v>38</v>
      </c>
      <c r="F142" s="179">
        <v>7931.5</v>
      </c>
      <c r="G142" s="180">
        <v>7.9320000000000004</v>
      </c>
      <c r="H142" s="181" t="s">
        <v>405</v>
      </c>
      <c r="I142" s="177">
        <v>1335</v>
      </c>
      <c r="J142" s="178">
        <v>2</v>
      </c>
      <c r="K142" s="182">
        <v>2</v>
      </c>
      <c r="L142" s="179">
        <v>990</v>
      </c>
      <c r="M142" s="178">
        <v>2</v>
      </c>
      <c r="N142" s="182">
        <v>2</v>
      </c>
      <c r="O142" s="181" t="s">
        <v>480</v>
      </c>
      <c r="P142" s="181" t="s">
        <v>200</v>
      </c>
      <c r="Q142" s="183" t="s">
        <v>201</v>
      </c>
      <c r="R142" s="183">
        <v>1</v>
      </c>
      <c r="S142" s="180">
        <v>30.238720000000001</v>
      </c>
      <c r="T142" s="174">
        <v>-97.731621000000004</v>
      </c>
      <c r="U142" s="175"/>
      <c r="V142" s="175" t="s">
        <v>481</v>
      </c>
      <c r="W142" s="226"/>
    </row>
    <row r="143" spans="2:23" ht="15.75" customHeight="1" x14ac:dyDescent="0.2">
      <c r="B143" s="158">
        <v>139</v>
      </c>
      <c r="C143" s="159" t="s">
        <v>196</v>
      </c>
      <c r="D143" s="159" t="s">
        <v>197</v>
      </c>
      <c r="E143" s="160">
        <v>39</v>
      </c>
      <c r="F143" s="161">
        <v>8173.1</v>
      </c>
      <c r="G143" s="162">
        <v>8.173</v>
      </c>
      <c r="H143" s="163" t="s">
        <v>405</v>
      </c>
      <c r="I143" s="159">
        <v>1850</v>
      </c>
      <c r="J143" s="160">
        <v>2</v>
      </c>
      <c r="K143" s="164">
        <v>2</v>
      </c>
      <c r="L143" s="161">
        <v>1275</v>
      </c>
      <c r="M143" s="160">
        <v>2</v>
      </c>
      <c r="N143" s="164">
        <v>2</v>
      </c>
      <c r="O143" s="163" t="s">
        <v>482</v>
      </c>
      <c r="P143" s="163" t="s">
        <v>204</v>
      </c>
      <c r="Q143" s="165" t="s">
        <v>201</v>
      </c>
      <c r="R143" s="165">
        <v>1</v>
      </c>
      <c r="S143" s="162">
        <v>30.234915000000001</v>
      </c>
      <c r="T143" s="162">
        <v>-97.764663999999996</v>
      </c>
      <c r="U143" s="163"/>
      <c r="V143" s="163" t="s">
        <v>483</v>
      </c>
      <c r="W143" s="226"/>
    </row>
    <row r="144" spans="2:23" ht="16.5" customHeight="1" x14ac:dyDescent="0.2">
      <c r="B144" s="176">
        <v>140</v>
      </c>
      <c r="C144" s="177" t="s">
        <v>196</v>
      </c>
      <c r="D144" s="177" t="s">
        <v>197</v>
      </c>
      <c r="E144" s="178">
        <v>40</v>
      </c>
      <c r="F144" s="179">
        <v>8180.4</v>
      </c>
      <c r="G144" s="180">
        <v>8.18</v>
      </c>
      <c r="H144" s="181" t="s">
        <v>405</v>
      </c>
      <c r="I144" s="177">
        <v>3150</v>
      </c>
      <c r="J144" s="178">
        <v>2</v>
      </c>
      <c r="K144" s="182">
        <v>2</v>
      </c>
      <c r="L144" s="179">
        <v>1440</v>
      </c>
      <c r="M144" s="178">
        <v>2</v>
      </c>
      <c r="N144" s="182">
        <v>2</v>
      </c>
      <c r="O144" s="181" t="s">
        <v>484</v>
      </c>
      <c r="P144" s="181" t="s">
        <v>221</v>
      </c>
      <c r="Q144" s="183" t="s">
        <v>201</v>
      </c>
      <c r="R144" s="183">
        <v>1</v>
      </c>
      <c r="S144" s="180">
        <v>30.234307999999999</v>
      </c>
      <c r="T144" s="174">
        <v>-97.758797999999999</v>
      </c>
      <c r="U144" s="175"/>
      <c r="V144" s="175" t="s">
        <v>485</v>
      </c>
      <c r="W144" s="226"/>
    </row>
    <row r="145" spans="2:23" ht="15.75" customHeight="1" x14ac:dyDescent="0.2">
      <c r="B145" s="158">
        <v>141</v>
      </c>
      <c r="C145" s="159" t="s">
        <v>196</v>
      </c>
      <c r="D145" s="159" t="s">
        <v>197</v>
      </c>
      <c r="E145" s="160">
        <v>41</v>
      </c>
      <c r="F145" s="161">
        <v>8793.7999999999993</v>
      </c>
      <c r="G145" s="162">
        <v>8.7940000000000005</v>
      </c>
      <c r="H145" s="163" t="s">
        <v>405</v>
      </c>
      <c r="I145" s="159">
        <v>1269</v>
      </c>
      <c r="J145" s="160">
        <v>2</v>
      </c>
      <c r="K145" s="164">
        <v>2</v>
      </c>
      <c r="L145" s="161">
        <v>920</v>
      </c>
      <c r="M145" s="160">
        <v>2</v>
      </c>
      <c r="N145" s="164">
        <v>2</v>
      </c>
      <c r="O145" s="163" t="s">
        <v>486</v>
      </c>
      <c r="P145" s="163" t="s">
        <v>204</v>
      </c>
      <c r="Q145" s="165" t="s">
        <v>201</v>
      </c>
      <c r="R145" s="165">
        <v>1</v>
      </c>
      <c r="S145" s="162">
        <v>30.369309999999999</v>
      </c>
      <c r="T145" s="162">
        <v>-97.695267000000001</v>
      </c>
      <c r="U145" s="163"/>
      <c r="V145" s="163" t="s">
        <v>487</v>
      </c>
      <c r="W145" s="226"/>
    </row>
    <row r="146" spans="2:23" ht="15.75" customHeight="1" x14ac:dyDescent="0.2">
      <c r="B146" s="176">
        <v>142</v>
      </c>
      <c r="C146" s="177" t="s">
        <v>196</v>
      </c>
      <c r="D146" s="177" t="s">
        <v>197</v>
      </c>
      <c r="E146" s="178">
        <v>42</v>
      </c>
      <c r="F146" s="179">
        <v>9959.2000000000007</v>
      </c>
      <c r="G146" s="180">
        <v>9.9589999999999996</v>
      </c>
      <c r="H146" s="181" t="s">
        <v>405</v>
      </c>
      <c r="I146" s="177">
        <v>1996</v>
      </c>
      <c r="J146" s="178">
        <v>2</v>
      </c>
      <c r="K146" s="182">
        <v>2</v>
      </c>
      <c r="L146" s="179">
        <v>1222</v>
      </c>
      <c r="M146" s="178">
        <v>2</v>
      </c>
      <c r="N146" s="182">
        <v>2</v>
      </c>
      <c r="O146" s="181" t="s">
        <v>488</v>
      </c>
      <c r="P146" s="181" t="s">
        <v>204</v>
      </c>
      <c r="Q146" s="183" t="s">
        <v>201</v>
      </c>
      <c r="R146" s="183">
        <v>1</v>
      </c>
      <c r="S146" s="180">
        <v>30.229792</v>
      </c>
      <c r="T146" s="174">
        <v>-97.803886000000006</v>
      </c>
      <c r="U146" s="175"/>
      <c r="V146" s="175" t="s">
        <v>489</v>
      </c>
      <c r="W146" s="226"/>
    </row>
    <row r="147" spans="2:23" ht="15.75" customHeight="1" x14ac:dyDescent="0.2">
      <c r="B147" s="158">
        <v>143</v>
      </c>
      <c r="C147" s="159" t="s">
        <v>196</v>
      </c>
      <c r="D147" s="159" t="s">
        <v>197</v>
      </c>
      <c r="E147" s="160">
        <v>43</v>
      </c>
      <c r="F147" s="161">
        <v>10066.1</v>
      </c>
      <c r="G147" s="162">
        <v>10.066000000000001</v>
      </c>
      <c r="H147" s="163" t="s">
        <v>405</v>
      </c>
      <c r="I147" s="159">
        <v>2000</v>
      </c>
      <c r="J147" s="160">
        <v>2</v>
      </c>
      <c r="K147" s="164">
        <v>2</v>
      </c>
      <c r="L147" s="161">
        <v>1081</v>
      </c>
      <c r="M147" s="160">
        <v>2</v>
      </c>
      <c r="N147" s="164">
        <v>2</v>
      </c>
      <c r="O147" s="163" t="s">
        <v>490</v>
      </c>
      <c r="P147" s="163" t="s">
        <v>221</v>
      </c>
      <c r="Q147" s="165" t="s">
        <v>201</v>
      </c>
      <c r="R147" s="165">
        <v>1</v>
      </c>
      <c r="S147" s="162">
        <v>30.217957999999999</v>
      </c>
      <c r="T147" s="162">
        <v>-97.766581000000002</v>
      </c>
      <c r="U147" s="163"/>
      <c r="V147" s="163" t="s">
        <v>491</v>
      </c>
      <c r="W147" s="226"/>
    </row>
    <row r="148" spans="2:23" ht="16.5" customHeight="1" x14ac:dyDescent="0.2">
      <c r="B148" s="176">
        <v>144</v>
      </c>
      <c r="C148" s="177" t="s">
        <v>196</v>
      </c>
      <c r="D148" s="177" t="s">
        <v>197</v>
      </c>
      <c r="E148" s="178">
        <v>44</v>
      </c>
      <c r="F148" s="179">
        <v>12204.1</v>
      </c>
      <c r="G148" s="180">
        <v>12.204000000000001</v>
      </c>
      <c r="H148" s="181" t="s">
        <v>405</v>
      </c>
      <c r="I148" s="177">
        <v>2400</v>
      </c>
      <c r="J148" s="178">
        <v>2</v>
      </c>
      <c r="K148" s="182">
        <v>2</v>
      </c>
      <c r="L148" s="179">
        <v>1494</v>
      </c>
      <c r="M148" s="178">
        <v>2</v>
      </c>
      <c r="N148" s="182">
        <v>2</v>
      </c>
      <c r="O148" s="181" t="s">
        <v>492</v>
      </c>
      <c r="P148" s="181" t="s">
        <v>221</v>
      </c>
      <c r="Q148" s="183" t="s">
        <v>201</v>
      </c>
      <c r="R148" s="183">
        <v>1</v>
      </c>
      <c r="S148" s="180">
        <v>30.417441</v>
      </c>
      <c r="T148" s="174">
        <v>-97.752153000000007</v>
      </c>
      <c r="U148" s="175"/>
      <c r="V148" s="175" t="s">
        <v>493</v>
      </c>
      <c r="W148" s="226"/>
    </row>
    <row r="149" spans="2:23" ht="15.75" customHeight="1" x14ac:dyDescent="0.2">
      <c r="B149" s="158">
        <v>145</v>
      </c>
      <c r="C149" s="159" t="s">
        <v>196</v>
      </c>
      <c r="D149" s="159" t="s">
        <v>197</v>
      </c>
      <c r="E149" s="160">
        <v>45</v>
      </c>
      <c r="F149" s="161">
        <v>12600.6</v>
      </c>
      <c r="G149" s="162">
        <v>12.601000000000001</v>
      </c>
      <c r="H149" s="163" t="s">
        <v>405</v>
      </c>
      <c r="I149" s="159">
        <v>4905</v>
      </c>
      <c r="J149" s="160">
        <v>2</v>
      </c>
      <c r="K149" s="164">
        <v>2</v>
      </c>
      <c r="L149" s="161">
        <v>1103</v>
      </c>
      <c r="M149" s="160">
        <v>2</v>
      </c>
      <c r="N149" s="164">
        <v>2</v>
      </c>
      <c r="O149" s="163" t="s">
        <v>494</v>
      </c>
      <c r="P149" s="163" t="s">
        <v>200</v>
      </c>
      <c r="Q149" s="165" t="s">
        <v>201</v>
      </c>
      <c r="R149" s="165">
        <v>1</v>
      </c>
      <c r="S149" s="162">
        <v>30.380576999999999</v>
      </c>
      <c r="T149" s="162">
        <v>-97.652161000000007</v>
      </c>
      <c r="U149" s="163"/>
      <c r="V149" s="163" t="s">
        <v>495</v>
      </c>
      <c r="W149" s="226"/>
    </row>
    <row r="150" spans="2:23" ht="15.75" customHeight="1" x14ac:dyDescent="0.2">
      <c r="B150" s="176">
        <v>146</v>
      </c>
      <c r="C150" s="177" t="s">
        <v>196</v>
      </c>
      <c r="D150" s="177" t="s">
        <v>197</v>
      </c>
      <c r="E150" s="178">
        <v>46</v>
      </c>
      <c r="F150" s="179">
        <v>12600.6</v>
      </c>
      <c r="G150" s="180">
        <v>12.601000000000001</v>
      </c>
      <c r="H150" s="181" t="s">
        <v>405</v>
      </c>
      <c r="I150" s="177">
        <v>4365</v>
      </c>
      <c r="J150" s="178">
        <v>2</v>
      </c>
      <c r="K150" s="182">
        <v>2</v>
      </c>
      <c r="L150" s="179">
        <v>1103</v>
      </c>
      <c r="M150" s="178">
        <v>2</v>
      </c>
      <c r="N150" s="182">
        <v>2</v>
      </c>
      <c r="O150" s="181" t="s">
        <v>496</v>
      </c>
      <c r="P150" s="181" t="s">
        <v>200</v>
      </c>
      <c r="Q150" s="183" t="s">
        <v>201</v>
      </c>
      <c r="R150" s="183">
        <v>1</v>
      </c>
      <c r="S150" s="180">
        <v>30.380576999999999</v>
      </c>
      <c r="T150" s="174">
        <v>-97.652161000000007</v>
      </c>
      <c r="U150" s="175"/>
      <c r="V150" s="175" t="s">
        <v>497</v>
      </c>
      <c r="W150" s="226"/>
    </row>
    <row r="151" spans="2:23" ht="15.75" customHeight="1" x14ac:dyDescent="0.2">
      <c r="B151" s="158">
        <v>147</v>
      </c>
      <c r="C151" s="159" t="s">
        <v>196</v>
      </c>
      <c r="D151" s="159" t="s">
        <v>197</v>
      </c>
      <c r="E151" s="160">
        <v>47</v>
      </c>
      <c r="F151" s="161">
        <v>12600.6</v>
      </c>
      <c r="G151" s="162">
        <v>12.601000000000001</v>
      </c>
      <c r="H151" s="163" t="s">
        <v>405</v>
      </c>
      <c r="I151" s="159">
        <v>4800</v>
      </c>
      <c r="J151" s="160">
        <v>2</v>
      </c>
      <c r="K151" s="164">
        <v>2</v>
      </c>
      <c r="L151" s="161">
        <v>1397</v>
      </c>
      <c r="M151" s="160">
        <v>2</v>
      </c>
      <c r="N151" s="164">
        <v>2</v>
      </c>
      <c r="O151" s="163" t="s">
        <v>498</v>
      </c>
      <c r="P151" s="163" t="s">
        <v>200</v>
      </c>
      <c r="Q151" s="165" t="s">
        <v>201</v>
      </c>
      <c r="R151" s="165">
        <v>1</v>
      </c>
      <c r="S151" s="162">
        <v>30.380576999999999</v>
      </c>
      <c r="T151" s="162">
        <v>-97.652161000000007</v>
      </c>
      <c r="U151" s="163"/>
      <c r="V151" s="163" t="s">
        <v>499</v>
      </c>
      <c r="W151" s="226"/>
    </row>
    <row r="152" spans="2:23" ht="16.5" customHeight="1" x14ac:dyDescent="0.2">
      <c r="B152" s="176">
        <v>148</v>
      </c>
      <c r="C152" s="177" t="s">
        <v>196</v>
      </c>
      <c r="D152" s="177" t="s">
        <v>197</v>
      </c>
      <c r="E152" s="178">
        <v>48</v>
      </c>
      <c r="F152" s="179">
        <v>13359.7</v>
      </c>
      <c r="G152" s="180">
        <v>13.36</v>
      </c>
      <c r="H152" s="181" t="s">
        <v>405</v>
      </c>
      <c r="I152" s="177">
        <v>1400</v>
      </c>
      <c r="J152" s="178">
        <v>2</v>
      </c>
      <c r="K152" s="182">
        <v>2</v>
      </c>
      <c r="L152" s="179">
        <v>1026</v>
      </c>
      <c r="M152" s="178">
        <v>2</v>
      </c>
      <c r="N152" s="182">
        <v>2</v>
      </c>
      <c r="O152" s="181" t="s">
        <v>500</v>
      </c>
      <c r="P152" s="181" t="s">
        <v>501</v>
      </c>
      <c r="Q152" s="183" t="s">
        <v>201</v>
      </c>
      <c r="R152" s="183">
        <v>1</v>
      </c>
      <c r="S152" s="180">
        <v>30.187728</v>
      </c>
      <c r="T152" s="174">
        <v>-97.744935999999996</v>
      </c>
      <c r="U152" s="175"/>
      <c r="V152" s="175" t="s">
        <v>502</v>
      </c>
      <c r="W152" s="226"/>
    </row>
    <row r="153" spans="2:23" ht="15.75" customHeight="1" x14ac:dyDescent="0.2">
      <c r="B153" s="158">
        <v>149</v>
      </c>
      <c r="C153" s="159" t="s">
        <v>196</v>
      </c>
      <c r="D153" s="159" t="s">
        <v>197</v>
      </c>
      <c r="E153" s="160">
        <v>49</v>
      </c>
      <c r="F153" s="161">
        <v>13680.1</v>
      </c>
      <c r="G153" s="162">
        <v>13.68</v>
      </c>
      <c r="H153" s="163" t="s">
        <v>405</v>
      </c>
      <c r="I153" s="159">
        <v>1553</v>
      </c>
      <c r="J153" s="160">
        <v>2</v>
      </c>
      <c r="K153" s="164">
        <v>2</v>
      </c>
      <c r="L153" s="161">
        <v>1000</v>
      </c>
      <c r="M153" s="160">
        <v>2</v>
      </c>
      <c r="N153" s="164">
        <v>2</v>
      </c>
      <c r="O153" s="163" t="s">
        <v>503</v>
      </c>
      <c r="P153" s="163" t="s">
        <v>501</v>
      </c>
      <c r="Q153" s="165" t="s">
        <v>201</v>
      </c>
      <c r="R153" s="165">
        <v>1</v>
      </c>
      <c r="S153" s="162">
        <v>30.430250000000001</v>
      </c>
      <c r="T153" s="162">
        <v>-97.765099000000006</v>
      </c>
      <c r="U153" s="163"/>
      <c r="V153" s="163" t="s">
        <v>504</v>
      </c>
      <c r="W153" s="226"/>
    </row>
    <row r="154" spans="2:23" ht="15.75" customHeight="1" x14ac:dyDescent="0.2">
      <c r="B154" s="176">
        <v>150</v>
      </c>
      <c r="C154" s="177" t="s">
        <v>196</v>
      </c>
      <c r="D154" s="177" t="s">
        <v>197</v>
      </c>
      <c r="E154" s="178">
        <v>50</v>
      </c>
      <c r="F154" s="179">
        <v>14098.4</v>
      </c>
      <c r="G154" s="180">
        <v>14.098000000000001</v>
      </c>
      <c r="H154" s="181" t="s">
        <v>405</v>
      </c>
      <c r="I154" s="177">
        <v>1400</v>
      </c>
      <c r="J154" s="178">
        <v>2</v>
      </c>
      <c r="K154" s="182">
        <v>2</v>
      </c>
      <c r="L154" s="179">
        <v>1056</v>
      </c>
      <c r="M154" s="178">
        <v>2</v>
      </c>
      <c r="N154" s="182">
        <v>2</v>
      </c>
      <c r="O154" s="181" t="s">
        <v>505</v>
      </c>
      <c r="P154" s="181" t="s">
        <v>204</v>
      </c>
      <c r="Q154" s="183" t="s">
        <v>201</v>
      </c>
      <c r="R154" s="183">
        <v>1</v>
      </c>
      <c r="S154" s="180">
        <v>30.369854</v>
      </c>
      <c r="T154" s="174">
        <v>-97.624663999999996</v>
      </c>
      <c r="U154" s="175"/>
      <c r="V154" s="175" t="s">
        <v>506</v>
      </c>
      <c r="W154" s="22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33"/>
  <sheetViews>
    <sheetView zoomScaleNormal="100" workbookViewId="0">
      <selection activeCell="G44" sqref="G44"/>
    </sheetView>
    <sheetView workbookViewId="1"/>
  </sheetViews>
  <sheetFormatPr baseColWidth="10" defaultColWidth="10.6640625" defaultRowHeight="15.75" customHeight="1" x14ac:dyDescent="0.2"/>
  <cols>
    <col min="1" max="1" width="4" style="201" customWidth="1"/>
    <col min="2" max="3" width="11.6640625" customWidth="1"/>
    <col min="4" max="4" width="15" customWidth="1"/>
    <col min="5" max="9" width="19.1640625" customWidth="1"/>
    <col min="10" max="16384" width="10.6640625" style="201"/>
  </cols>
  <sheetData>
    <row r="1" spans="2:10" ht="15.75" customHeight="1" x14ac:dyDescent="0.2">
      <c r="B1" s="201"/>
      <c r="C1" s="201"/>
      <c r="D1" s="201"/>
      <c r="E1" s="201"/>
      <c r="F1" s="201"/>
      <c r="G1" s="201"/>
      <c r="H1" s="201"/>
      <c r="I1" s="201"/>
    </row>
    <row r="2" spans="2:10" ht="21" customHeight="1" x14ac:dyDescent="0.25">
      <c r="B2" s="16" t="s">
        <v>507</v>
      </c>
      <c r="C2" s="11"/>
      <c r="D2" s="11"/>
      <c r="E2" s="11"/>
      <c r="F2" s="11"/>
      <c r="G2" s="11"/>
      <c r="H2" s="11"/>
      <c r="I2" s="11"/>
    </row>
    <row r="3" spans="2:10" ht="15.75" customHeight="1" x14ac:dyDescent="0.2">
      <c r="B3" s="11"/>
      <c r="C3" s="11"/>
      <c r="D3" s="11"/>
      <c r="E3" s="11"/>
      <c r="F3" s="11"/>
      <c r="G3" s="11"/>
      <c r="H3" s="11"/>
      <c r="I3" s="11"/>
      <c r="J3" s="215"/>
    </row>
    <row r="4" spans="2:10" ht="21.75" customHeight="1" x14ac:dyDescent="0.2">
      <c r="B4" s="9" t="s">
        <v>508</v>
      </c>
      <c r="C4" s="9"/>
      <c r="D4" s="9"/>
      <c r="E4" s="9"/>
      <c r="F4" s="9"/>
      <c r="G4" s="9"/>
      <c r="H4" s="9"/>
      <c r="I4" s="9"/>
      <c r="J4" s="215"/>
    </row>
    <row r="5" spans="2:10" ht="18" customHeight="1" x14ac:dyDescent="0.2">
      <c r="B5" s="12" t="s">
        <v>509</v>
      </c>
      <c r="C5" s="261">
        <f>Assumptions!C35</f>
        <v>1680000</v>
      </c>
      <c r="D5" s="10"/>
      <c r="E5" s="10"/>
      <c r="F5" s="10"/>
      <c r="G5" s="10"/>
      <c r="H5" s="10"/>
      <c r="I5" s="10"/>
      <c r="J5" s="215"/>
    </row>
    <row r="6" spans="2:10" ht="18" customHeight="1" x14ac:dyDescent="0.2">
      <c r="B6" s="14" t="s">
        <v>510</v>
      </c>
      <c r="C6" s="262">
        <f>Assumptions!C36</f>
        <v>6.5000000000000002E-2</v>
      </c>
      <c r="D6" s="11"/>
      <c r="E6" s="11"/>
      <c r="F6" s="11"/>
      <c r="G6" s="11"/>
      <c r="H6" s="11"/>
      <c r="I6" s="11"/>
      <c r="J6" s="215"/>
    </row>
    <row r="7" spans="2:10" ht="18" customHeight="1" x14ac:dyDescent="0.2">
      <c r="B7" s="12" t="s">
        <v>511</v>
      </c>
      <c r="C7" s="263">
        <f>Assumptions!C37</f>
        <v>24</v>
      </c>
      <c r="D7" s="10"/>
      <c r="E7" s="10"/>
      <c r="F7" s="10"/>
      <c r="G7" s="10"/>
      <c r="H7" s="10"/>
      <c r="I7" s="10"/>
      <c r="J7" s="215"/>
    </row>
    <row r="8" spans="2:10" ht="18" customHeight="1" x14ac:dyDescent="0.2">
      <c r="B8" s="14" t="s">
        <v>512</v>
      </c>
      <c r="C8" s="264">
        <f>Assumptions!C38</f>
        <v>30</v>
      </c>
      <c r="D8" s="11"/>
      <c r="E8" s="11"/>
      <c r="F8" s="11"/>
      <c r="G8" s="11"/>
      <c r="H8" s="11"/>
      <c r="I8" s="11"/>
      <c r="J8" s="215"/>
    </row>
    <row r="9" spans="2:10" ht="18" customHeight="1" x14ac:dyDescent="0.2">
      <c r="B9" s="12" t="s">
        <v>513</v>
      </c>
      <c r="C9" s="265">
        <f>C6/12</f>
        <v>5.4166666666666669E-3</v>
      </c>
      <c r="D9" s="10"/>
      <c r="E9" s="10"/>
      <c r="F9" s="10"/>
      <c r="G9" s="10"/>
      <c r="H9" s="10"/>
      <c r="I9" s="10"/>
      <c r="J9" s="215"/>
    </row>
    <row r="10" spans="2:10" ht="18" customHeight="1" x14ac:dyDescent="0.2">
      <c r="B10" s="14" t="s">
        <v>514</v>
      </c>
      <c r="C10" s="266">
        <f>-PMT(C6/12,C8*12,C5)</f>
        <v>10618.742794681792</v>
      </c>
      <c r="D10" s="11"/>
      <c r="E10" s="11"/>
      <c r="F10" s="11"/>
      <c r="G10" s="11"/>
      <c r="H10" s="11"/>
      <c r="I10" s="11"/>
      <c r="J10" s="215"/>
    </row>
    <row r="11" spans="2:10" ht="15.75" customHeight="1" x14ac:dyDescent="0.2">
      <c r="B11" s="11"/>
      <c r="C11" s="11"/>
      <c r="D11" s="11"/>
      <c r="E11" s="11"/>
      <c r="F11" s="11"/>
      <c r="G11" s="11"/>
      <c r="H11" s="11"/>
      <c r="I11" s="11"/>
      <c r="J11" s="215"/>
    </row>
    <row r="12" spans="2:10" ht="21.75" customHeight="1" x14ac:dyDescent="0.2">
      <c r="B12" s="13" t="s">
        <v>515</v>
      </c>
      <c r="C12" s="13" t="s">
        <v>140</v>
      </c>
      <c r="D12" s="13" t="s">
        <v>516</v>
      </c>
      <c r="E12" s="13" t="s">
        <v>517</v>
      </c>
      <c r="F12" s="13" t="s">
        <v>518</v>
      </c>
      <c r="G12" s="13" t="s">
        <v>519</v>
      </c>
      <c r="H12" s="13" t="s">
        <v>520</v>
      </c>
      <c r="I12" s="13" t="s">
        <v>521</v>
      </c>
      <c r="J12" s="215"/>
    </row>
    <row r="13" spans="2:10" ht="15.75" customHeight="1" x14ac:dyDescent="0.2">
      <c r="B13" s="57">
        <v>1</v>
      </c>
      <c r="C13" s="57">
        <f t="shared" ref="C13:C44" si="0">CEILING(B13/12,1)</f>
        <v>1</v>
      </c>
      <c r="D13" s="57" t="str">
        <f t="shared" ref="D13:D44" si="1">IF(B13&lt;=$C$7,"IO","Amort")</f>
        <v>IO</v>
      </c>
      <c r="E13" s="58">
        <f>$C$5</f>
        <v>1680000</v>
      </c>
      <c r="F13" s="58">
        <f t="shared" ref="F13:F44" si="2">IF(D13="IO",E13*$C$9,$C$10)</f>
        <v>9100</v>
      </c>
      <c r="G13" s="58">
        <f t="shared" ref="G13:G44" si="3">E13*$C$9</f>
        <v>9100</v>
      </c>
      <c r="H13" s="58">
        <f t="shared" ref="H13:H44" si="4">F13-G13</f>
        <v>0</v>
      </c>
      <c r="I13" s="58">
        <f t="shared" ref="I13:I44" si="5">E13-H13</f>
        <v>1680000</v>
      </c>
      <c r="J13" s="215"/>
    </row>
    <row r="14" spans="2:10" ht="15.75" customHeight="1" x14ac:dyDescent="0.2">
      <c r="B14" s="57">
        <f t="shared" ref="B14:B45" si="6">B13+1</f>
        <v>2</v>
      </c>
      <c r="C14" s="57">
        <f t="shared" si="0"/>
        <v>1</v>
      </c>
      <c r="D14" s="57" t="str">
        <f t="shared" si="1"/>
        <v>IO</v>
      </c>
      <c r="E14" s="58">
        <f t="shared" ref="E14:E45" si="7">I13</f>
        <v>1680000</v>
      </c>
      <c r="F14" s="58">
        <f t="shared" si="2"/>
        <v>9100</v>
      </c>
      <c r="G14" s="58">
        <f t="shared" si="3"/>
        <v>9100</v>
      </c>
      <c r="H14" s="58">
        <f t="shared" si="4"/>
        <v>0</v>
      </c>
      <c r="I14" s="58">
        <f t="shared" si="5"/>
        <v>1680000</v>
      </c>
      <c r="J14" s="215"/>
    </row>
    <row r="15" spans="2:10" ht="15.75" customHeight="1" x14ac:dyDescent="0.2">
      <c r="B15" s="57">
        <f t="shared" si="6"/>
        <v>3</v>
      </c>
      <c r="C15" s="57">
        <f t="shared" si="0"/>
        <v>1</v>
      </c>
      <c r="D15" s="57" t="str">
        <f t="shared" si="1"/>
        <v>IO</v>
      </c>
      <c r="E15" s="58">
        <f t="shared" si="7"/>
        <v>1680000</v>
      </c>
      <c r="F15" s="58">
        <f t="shared" si="2"/>
        <v>9100</v>
      </c>
      <c r="G15" s="58">
        <f t="shared" si="3"/>
        <v>9100</v>
      </c>
      <c r="H15" s="58">
        <f t="shared" si="4"/>
        <v>0</v>
      </c>
      <c r="I15" s="58">
        <f t="shared" si="5"/>
        <v>1680000</v>
      </c>
      <c r="J15" s="215"/>
    </row>
    <row r="16" spans="2:10" ht="15.75" customHeight="1" x14ac:dyDescent="0.2">
      <c r="B16" s="57">
        <f t="shared" si="6"/>
        <v>4</v>
      </c>
      <c r="C16" s="57">
        <f t="shared" si="0"/>
        <v>1</v>
      </c>
      <c r="D16" s="57" t="str">
        <f t="shared" si="1"/>
        <v>IO</v>
      </c>
      <c r="E16" s="58">
        <f t="shared" si="7"/>
        <v>1680000</v>
      </c>
      <c r="F16" s="58">
        <f t="shared" si="2"/>
        <v>9100</v>
      </c>
      <c r="G16" s="58">
        <f t="shared" si="3"/>
        <v>9100</v>
      </c>
      <c r="H16" s="58">
        <f t="shared" si="4"/>
        <v>0</v>
      </c>
      <c r="I16" s="58">
        <f t="shared" si="5"/>
        <v>1680000</v>
      </c>
      <c r="J16" s="215"/>
    </row>
    <row r="17" spans="2:10" ht="15.75" customHeight="1" x14ac:dyDescent="0.2">
      <c r="B17" s="57">
        <f t="shared" si="6"/>
        <v>5</v>
      </c>
      <c r="C17" s="57">
        <f t="shared" si="0"/>
        <v>1</v>
      </c>
      <c r="D17" s="57" t="str">
        <f t="shared" si="1"/>
        <v>IO</v>
      </c>
      <c r="E17" s="58">
        <f t="shared" si="7"/>
        <v>1680000</v>
      </c>
      <c r="F17" s="58">
        <f t="shared" si="2"/>
        <v>9100</v>
      </c>
      <c r="G17" s="58">
        <f t="shared" si="3"/>
        <v>9100</v>
      </c>
      <c r="H17" s="58">
        <f t="shared" si="4"/>
        <v>0</v>
      </c>
      <c r="I17" s="58">
        <f t="shared" si="5"/>
        <v>1680000</v>
      </c>
      <c r="J17" s="215"/>
    </row>
    <row r="18" spans="2:10" ht="15.75" customHeight="1" x14ac:dyDescent="0.2">
      <c r="B18" s="57">
        <f t="shared" si="6"/>
        <v>6</v>
      </c>
      <c r="C18" s="57">
        <f t="shared" si="0"/>
        <v>1</v>
      </c>
      <c r="D18" s="57" t="str">
        <f t="shared" si="1"/>
        <v>IO</v>
      </c>
      <c r="E18" s="58">
        <f t="shared" si="7"/>
        <v>1680000</v>
      </c>
      <c r="F18" s="58">
        <f t="shared" si="2"/>
        <v>9100</v>
      </c>
      <c r="G18" s="58">
        <f t="shared" si="3"/>
        <v>9100</v>
      </c>
      <c r="H18" s="58">
        <f t="shared" si="4"/>
        <v>0</v>
      </c>
      <c r="I18" s="58">
        <f t="shared" si="5"/>
        <v>1680000</v>
      </c>
      <c r="J18" s="215"/>
    </row>
    <row r="19" spans="2:10" ht="15.75" customHeight="1" x14ac:dyDescent="0.2">
      <c r="B19" s="57">
        <f t="shared" si="6"/>
        <v>7</v>
      </c>
      <c r="C19" s="57">
        <f t="shared" si="0"/>
        <v>1</v>
      </c>
      <c r="D19" s="57" t="str">
        <f t="shared" si="1"/>
        <v>IO</v>
      </c>
      <c r="E19" s="58">
        <f t="shared" si="7"/>
        <v>1680000</v>
      </c>
      <c r="F19" s="58">
        <f t="shared" si="2"/>
        <v>9100</v>
      </c>
      <c r="G19" s="58">
        <f t="shared" si="3"/>
        <v>9100</v>
      </c>
      <c r="H19" s="58">
        <f t="shared" si="4"/>
        <v>0</v>
      </c>
      <c r="I19" s="58">
        <f t="shared" si="5"/>
        <v>1680000</v>
      </c>
      <c r="J19" s="215"/>
    </row>
    <row r="20" spans="2:10" ht="15.75" customHeight="1" x14ac:dyDescent="0.2">
      <c r="B20" s="57">
        <f t="shared" si="6"/>
        <v>8</v>
      </c>
      <c r="C20" s="57">
        <f t="shared" si="0"/>
        <v>1</v>
      </c>
      <c r="D20" s="57" t="str">
        <f t="shared" si="1"/>
        <v>IO</v>
      </c>
      <c r="E20" s="58">
        <f t="shared" si="7"/>
        <v>1680000</v>
      </c>
      <c r="F20" s="58">
        <f t="shared" si="2"/>
        <v>9100</v>
      </c>
      <c r="G20" s="58">
        <f t="shared" si="3"/>
        <v>9100</v>
      </c>
      <c r="H20" s="58">
        <f t="shared" si="4"/>
        <v>0</v>
      </c>
      <c r="I20" s="58">
        <f t="shared" si="5"/>
        <v>1680000</v>
      </c>
      <c r="J20" s="215"/>
    </row>
    <row r="21" spans="2:10" ht="15.75" customHeight="1" x14ac:dyDescent="0.2">
      <c r="B21" s="57">
        <f t="shared" si="6"/>
        <v>9</v>
      </c>
      <c r="C21" s="57">
        <f t="shared" si="0"/>
        <v>1</v>
      </c>
      <c r="D21" s="57" t="str">
        <f t="shared" si="1"/>
        <v>IO</v>
      </c>
      <c r="E21" s="58">
        <f t="shared" si="7"/>
        <v>1680000</v>
      </c>
      <c r="F21" s="58">
        <f t="shared" si="2"/>
        <v>9100</v>
      </c>
      <c r="G21" s="58">
        <f t="shared" si="3"/>
        <v>9100</v>
      </c>
      <c r="H21" s="58">
        <f t="shared" si="4"/>
        <v>0</v>
      </c>
      <c r="I21" s="58">
        <f t="shared" si="5"/>
        <v>1680000</v>
      </c>
      <c r="J21" s="215"/>
    </row>
    <row r="22" spans="2:10" ht="15.75" customHeight="1" x14ac:dyDescent="0.2">
      <c r="B22" s="57">
        <f t="shared" si="6"/>
        <v>10</v>
      </c>
      <c r="C22" s="57">
        <f t="shared" si="0"/>
        <v>1</v>
      </c>
      <c r="D22" s="57" t="str">
        <f t="shared" si="1"/>
        <v>IO</v>
      </c>
      <c r="E22" s="58">
        <f t="shared" si="7"/>
        <v>1680000</v>
      </c>
      <c r="F22" s="58">
        <f t="shared" si="2"/>
        <v>9100</v>
      </c>
      <c r="G22" s="58">
        <f t="shared" si="3"/>
        <v>9100</v>
      </c>
      <c r="H22" s="58">
        <f t="shared" si="4"/>
        <v>0</v>
      </c>
      <c r="I22" s="58">
        <f t="shared" si="5"/>
        <v>1680000</v>
      </c>
      <c r="J22" s="215"/>
    </row>
    <row r="23" spans="2:10" ht="15.75" customHeight="1" x14ac:dyDescent="0.2">
      <c r="B23" s="57">
        <f t="shared" si="6"/>
        <v>11</v>
      </c>
      <c r="C23" s="57">
        <f t="shared" si="0"/>
        <v>1</v>
      </c>
      <c r="D23" s="57" t="str">
        <f t="shared" si="1"/>
        <v>IO</v>
      </c>
      <c r="E23" s="58">
        <f t="shared" si="7"/>
        <v>1680000</v>
      </c>
      <c r="F23" s="58">
        <f t="shared" si="2"/>
        <v>9100</v>
      </c>
      <c r="G23" s="58">
        <f t="shared" si="3"/>
        <v>9100</v>
      </c>
      <c r="H23" s="58">
        <f t="shared" si="4"/>
        <v>0</v>
      </c>
      <c r="I23" s="58">
        <f t="shared" si="5"/>
        <v>1680000</v>
      </c>
      <c r="J23" s="215"/>
    </row>
    <row r="24" spans="2:10" ht="15.75" customHeight="1" x14ac:dyDescent="0.2">
      <c r="B24" s="57">
        <f t="shared" si="6"/>
        <v>12</v>
      </c>
      <c r="C24" s="57">
        <f t="shared" si="0"/>
        <v>1</v>
      </c>
      <c r="D24" s="57" t="str">
        <f t="shared" si="1"/>
        <v>IO</v>
      </c>
      <c r="E24" s="58">
        <f t="shared" si="7"/>
        <v>1680000</v>
      </c>
      <c r="F24" s="58">
        <f t="shared" si="2"/>
        <v>9100</v>
      </c>
      <c r="G24" s="58">
        <f t="shared" si="3"/>
        <v>9100</v>
      </c>
      <c r="H24" s="58">
        <f t="shared" si="4"/>
        <v>0</v>
      </c>
      <c r="I24" s="58">
        <f t="shared" si="5"/>
        <v>1680000</v>
      </c>
      <c r="J24" s="215"/>
    </row>
    <row r="25" spans="2:10" ht="15.75" customHeight="1" x14ac:dyDescent="0.2">
      <c r="B25" s="57">
        <f t="shared" si="6"/>
        <v>13</v>
      </c>
      <c r="C25" s="57">
        <f t="shared" si="0"/>
        <v>2</v>
      </c>
      <c r="D25" s="57" t="str">
        <f t="shared" si="1"/>
        <v>IO</v>
      </c>
      <c r="E25" s="58">
        <f t="shared" si="7"/>
        <v>1680000</v>
      </c>
      <c r="F25" s="58">
        <f t="shared" si="2"/>
        <v>9100</v>
      </c>
      <c r="G25" s="58">
        <f t="shared" si="3"/>
        <v>9100</v>
      </c>
      <c r="H25" s="58">
        <f t="shared" si="4"/>
        <v>0</v>
      </c>
      <c r="I25" s="58">
        <f t="shared" si="5"/>
        <v>1680000</v>
      </c>
      <c r="J25" s="215"/>
    </row>
    <row r="26" spans="2:10" ht="15.75" customHeight="1" x14ac:dyDescent="0.2">
      <c r="B26" s="57">
        <f t="shared" si="6"/>
        <v>14</v>
      </c>
      <c r="C26" s="57">
        <f t="shared" si="0"/>
        <v>2</v>
      </c>
      <c r="D26" s="57" t="str">
        <f t="shared" si="1"/>
        <v>IO</v>
      </c>
      <c r="E26" s="58">
        <f t="shared" si="7"/>
        <v>1680000</v>
      </c>
      <c r="F26" s="58">
        <f t="shared" si="2"/>
        <v>9100</v>
      </c>
      <c r="G26" s="58">
        <f t="shared" si="3"/>
        <v>9100</v>
      </c>
      <c r="H26" s="58">
        <f t="shared" si="4"/>
        <v>0</v>
      </c>
      <c r="I26" s="58">
        <f t="shared" si="5"/>
        <v>1680000</v>
      </c>
      <c r="J26" s="215"/>
    </row>
    <row r="27" spans="2:10" ht="15.75" customHeight="1" x14ac:dyDescent="0.2">
      <c r="B27" s="57">
        <f t="shared" si="6"/>
        <v>15</v>
      </c>
      <c r="C27" s="57">
        <f t="shared" si="0"/>
        <v>2</v>
      </c>
      <c r="D27" s="57" t="str">
        <f t="shared" si="1"/>
        <v>IO</v>
      </c>
      <c r="E27" s="58">
        <f t="shared" si="7"/>
        <v>1680000</v>
      </c>
      <c r="F27" s="58">
        <f t="shared" si="2"/>
        <v>9100</v>
      </c>
      <c r="G27" s="58">
        <f t="shared" si="3"/>
        <v>9100</v>
      </c>
      <c r="H27" s="58">
        <f t="shared" si="4"/>
        <v>0</v>
      </c>
      <c r="I27" s="58">
        <f t="shared" si="5"/>
        <v>1680000</v>
      </c>
      <c r="J27" s="215"/>
    </row>
    <row r="28" spans="2:10" ht="15.75" customHeight="1" x14ac:dyDescent="0.2">
      <c r="B28" s="57">
        <f t="shared" si="6"/>
        <v>16</v>
      </c>
      <c r="C28" s="57">
        <f t="shared" si="0"/>
        <v>2</v>
      </c>
      <c r="D28" s="57" t="str">
        <f t="shared" si="1"/>
        <v>IO</v>
      </c>
      <c r="E28" s="58">
        <f t="shared" si="7"/>
        <v>1680000</v>
      </c>
      <c r="F28" s="58">
        <f t="shared" si="2"/>
        <v>9100</v>
      </c>
      <c r="G28" s="58">
        <f t="shared" si="3"/>
        <v>9100</v>
      </c>
      <c r="H28" s="58">
        <f t="shared" si="4"/>
        <v>0</v>
      </c>
      <c r="I28" s="58">
        <f t="shared" si="5"/>
        <v>1680000</v>
      </c>
      <c r="J28" s="215"/>
    </row>
    <row r="29" spans="2:10" ht="15.75" customHeight="1" x14ac:dyDescent="0.2">
      <c r="B29" s="57">
        <f t="shared" si="6"/>
        <v>17</v>
      </c>
      <c r="C29" s="57">
        <f t="shared" si="0"/>
        <v>2</v>
      </c>
      <c r="D29" s="57" t="str">
        <f t="shared" si="1"/>
        <v>IO</v>
      </c>
      <c r="E29" s="58">
        <f t="shared" si="7"/>
        <v>1680000</v>
      </c>
      <c r="F29" s="58">
        <f t="shared" si="2"/>
        <v>9100</v>
      </c>
      <c r="G29" s="58">
        <f t="shared" si="3"/>
        <v>9100</v>
      </c>
      <c r="H29" s="58">
        <f t="shared" si="4"/>
        <v>0</v>
      </c>
      <c r="I29" s="58">
        <f t="shared" si="5"/>
        <v>1680000</v>
      </c>
      <c r="J29" s="215"/>
    </row>
    <row r="30" spans="2:10" ht="15.75" customHeight="1" x14ac:dyDescent="0.2">
      <c r="B30" s="57">
        <f t="shared" si="6"/>
        <v>18</v>
      </c>
      <c r="C30" s="57">
        <f t="shared" si="0"/>
        <v>2</v>
      </c>
      <c r="D30" s="57" t="str">
        <f t="shared" si="1"/>
        <v>IO</v>
      </c>
      <c r="E30" s="58">
        <f t="shared" si="7"/>
        <v>1680000</v>
      </c>
      <c r="F30" s="58">
        <f t="shared" si="2"/>
        <v>9100</v>
      </c>
      <c r="G30" s="58">
        <f t="shared" si="3"/>
        <v>9100</v>
      </c>
      <c r="H30" s="58">
        <f t="shared" si="4"/>
        <v>0</v>
      </c>
      <c r="I30" s="58">
        <f t="shared" si="5"/>
        <v>1680000</v>
      </c>
      <c r="J30" s="215"/>
    </row>
    <row r="31" spans="2:10" ht="15.75" customHeight="1" x14ac:dyDescent="0.2">
      <c r="B31" s="57">
        <f t="shared" si="6"/>
        <v>19</v>
      </c>
      <c r="C31" s="57">
        <f t="shared" si="0"/>
        <v>2</v>
      </c>
      <c r="D31" s="57" t="str">
        <f t="shared" si="1"/>
        <v>IO</v>
      </c>
      <c r="E31" s="58">
        <f t="shared" si="7"/>
        <v>1680000</v>
      </c>
      <c r="F31" s="58">
        <f t="shared" si="2"/>
        <v>9100</v>
      </c>
      <c r="G31" s="58">
        <f t="shared" si="3"/>
        <v>9100</v>
      </c>
      <c r="H31" s="58">
        <f t="shared" si="4"/>
        <v>0</v>
      </c>
      <c r="I31" s="58">
        <f t="shared" si="5"/>
        <v>1680000</v>
      </c>
      <c r="J31" s="215"/>
    </row>
    <row r="32" spans="2:10" ht="15.75" customHeight="1" x14ac:dyDescent="0.2">
      <c r="B32" s="57">
        <f t="shared" si="6"/>
        <v>20</v>
      </c>
      <c r="C32" s="57">
        <f t="shared" si="0"/>
        <v>2</v>
      </c>
      <c r="D32" s="57" t="str">
        <f t="shared" si="1"/>
        <v>IO</v>
      </c>
      <c r="E32" s="58">
        <f t="shared" si="7"/>
        <v>1680000</v>
      </c>
      <c r="F32" s="58">
        <f t="shared" si="2"/>
        <v>9100</v>
      </c>
      <c r="G32" s="58">
        <f t="shared" si="3"/>
        <v>9100</v>
      </c>
      <c r="H32" s="58">
        <f t="shared" si="4"/>
        <v>0</v>
      </c>
      <c r="I32" s="58">
        <f t="shared" si="5"/>
        <v>1680000</v>
      </c>
      <c r="J32" s="215"/>
    </row>
    <row r="33" spans="2:10" ht="15.75" customHeight="1" x14ac:dyDescent="0.2">
      <c r="B33" s="57">
        <f t="shared" si="6"/>
        <v>21</v>
      </c>
      <c r="C33" s="57">
        <f t="shared" si="0"/>
        <v>2</v>
      </c>
      <c r="D33" s="57" t="str">
        <f t="shared" si="1"/>
        <v>IO</v>
      </c>
      <c r="E33" s="58">
        <f t="shared" si="7"/>
        <v>1680000</v>
      </c>
      <c r="F33" s="58">
        <f t="shared" si="2"/>
        <v>9100</v>
      </c>
      <c r="G33" s="58">
        <f t="shared" si="3"/>
        <v>9100</v>
      </c>
      <c r="H33" s="58">
        <f t="shared" si="4"/>
        <v>0</v>
      </c>
      <c r="I33" s="58">
        <f t="shared" si="5"/>
        <v>1680000</v>
      </c>
      <c r="J33" s="215"/>
    </row>
    <row r="34" spans="2:10" ht="15.75" customHeight="1" x14ac:dyDescent="0.2">
      <c r="B34" s="57">
        <f t="shared" si="6"/>
        <v>22</v>
      </c>
      <c r="C34" s="57">
        <f t="shared" si="0"/>
        <v>2</v>
      </c>
      <c r="D34" s="57" t="str">
        <f t="shared" si="1"/>
        <v>IO</v>
      </c>
      <c r="E34" s="58">
        <f t="shared" si="7"/>
        <v>1680000</v>
      </c>
      <c r="F34" s="58">
        <f t="shared" si="2"/>
        <v>9100</v>
      </c>
      <c r="G34" s="58">
        <f t="shared" si="3"/>
        <v>9100</v>
      </c>
      <c r="H34" s="58">
        <f t="shared" si="4"/>
        <v>0</v>
      </c>
      <c r="I34" s="58">
        <f t="shared" si="5"/>
        <v>1680000</v>
      </c>
      <c r="J34" s="215"/>
    </row>
    <row r="35" spans="2:10" ht="15.75" customHeight="1" x14ac:dyDescent="0.2">
      <c r="B35" s="57">
        <f t="shared" si="6"/>
        <v>23</v>
      </c>
      <c r="C35" s="57">
        <f t="shared" si="0"/>
        <v>2</v>
      </c>
      <c r="D35" s="57" t="str">
        <f t="shared" si="1"/>
        <v>IO</v>
      </c>
      <c r="E35" s="58">
        <f t="shared" si="7"/>
        <v>1680000</v>
      </c>
      <c r="F35" s="58">
        <f t="shared" si="2"/>
        <v>9100</v>
      </c>
      <c r="G35" s="58">
        <f t="shared" si="3"/>
        <v>9100</v>
      </c>
      <c r="H35" s="58">
        <f t="shared" si="4"/>
        <v>0</v>
      </c>
      <c r="I35" s="58">
        <f t="shared" si="5"/>
        <v>1680000</v>
      </c>
      <c r="J35" s="215"/>
    </row>
    <row r="36" spans="2:10" ht="15.75" customHeight="1" x14ac:dyDescent="0.2">
      <c r="B36" s="57">
        <f t="shared" si="6"/>
        <v>24</v>
      </c>
      <c r="C36" s="57">
        <f t="shared" si="0"/>
        <v>2</v>
      </c>
      <c r="D36" s="57" t="str">
        <f t="shared" si="1"/>
        <v>IO</v>
      </c>
      <c r="E36" s="58">
        <f t="shared" si="7"/>
        <v>1680000</v>
      </c>
      <c r="F36" s="58">
        <f t="shared" si="2"/>
        <v>9100</v>
      </c>
      <c r="G36" s="58">
        <f t="shared" si="3"/>
        <v>9100</v>
      </c>
      <c r="H36" s="58">
        <f t="shared" si="4"/>
        <v>0</v>
      </c>
      <c r="I36" s="58">
        <f t="shared" si="5"/>
        <v>1680000</v>
      </c>
      <c r="J36" s="215"/>
    </row>
    <row r="37" spans="2:10" ht="15.75" customHeight="1" x14ac:dyDescent="0.2">
      <c r="B37" s="59">
        <f t="shared" si="6"/>
        <v>25</v>
      </c>
      <c r="C37" s="59">
        <f t="shared" si="0"/>
        <v>3</v>
      </c>
      <c r="D37" s="59" t="str">
        <f t="shared" si="1"/>
        <v>Amort</v>
      </c>
      <c r="E37" s="15">
        <f t="shared" si="7"/>
        <v>1680000</v>
      </c>
      <c r="F37" s="15">
        <f>IF(D37="IO",E37*$C$9,$C$10)</f>
        <v>10618.742794681792</v>
      </c>
      <c r="G37" s="15">
        <f>E37*$C$9</f>
        <v>9100</v>
      </c>
      <c r="H37" s="15">
        <f t="shared" si="4"/>
        <v>1518.7427946817916</v>
      </c>
      <c r="I37" s="15">
        <f t="shared" si="5"/>
        <v>1678481.2572053182</v>
      </c>
      <c r="J37" s="215"/>
    </row>
    <row r="38" spans="2:10" ht="15.75" customHeight="1" x14ac:dyDescent="0.2">
      <c r="B38" s="59">
        <f t="shared" si="6"/>
        <v>26</v>
      </c>
      <c r="C38" s="59">
        <f t="shared" si="0"/>
        <v>3</v>
      </c>
      <c r="D38" s="59" t="str">
        <f t="shared" si="1"/>
        <v>Amort</v>
      </c>
      <c r="E38" s="15">
        <f t="shared" si="7"/>
        <v>1678481.2572053182</v>
      </c>
      <c r="F38" s="15">
        <f t="shared" si="2"/>
        <v>10618.742794681792</v>
      </c>
      <c r="G38" s="15">
        <f t="shared" si="3"/>
        <v>9091.7734765288078</v>
      </c>
      <c r="H38" s="15">
        <f t="shared" si="4"/>
        <v>1526.9693181529838</v>
      </c>
      <c r="I38" s="15">
        <f t="shared" si="5"/>
        <v>1676954.2878871653</v>
      </c>
      <c r="J38" s="215"/>
    </row>
    <row r="39" spans="2:10" ht="15.75" customHeight="1" x14ac:dyDescent="0.2">
      <c r="B39" s="59">
        <f t="shared" si="6"/>
        <v>27</v>
      </c>
      <c r="C39" s="59">
        <f t="shared" si="0"/>
        <v>3</v>
      </c>
      <c r="D39" s="59" t="str">
        <f t="shared" si="1"/>
        <v>Amort</v>
      </c>
      <c r="E39" s="15">
        <f t="shared" si="7"/>
        <v>1676954.2878871653</v>
      </c>
      <c r="F39" s="15">
        <f t="shared" si="2"/>
        <v>10618.742794681792</v>
      </c>
      <c r="G39" s="15">
        <f t="shared" si="3"/>
        <v>9083.5023927221464</v>
      </c>
      <c r="H39" s="15">
        <f t="shared" si="4"/>
        <v>1535.2404019596452</v>
      </c>
      <c r="I39" s="15">
        <f t="shared" si="5"/>
        <v>1675419.0474852056</v>
      </c>
      <c r="J39" s="215"/>
    </row>
    <row r="40" spans="2:10" ht="15.75" customHeight="1" x14ac:dyDescent="0.2">
      <c r="B40" s="59">
        <f t="shared" si="6"/>
        <v>28</v>
      </c>
      <c r="C40" s="59">
        <f t="shared" si="0"/>
        <v>3</v>
      </c>
      <c r="D40" s="59" t="str">
        <f t="shared" si="1"/>
        <v>Amort</v>
      </c>
      <c r="E40" s="15">
        <f t="shared" si="7"/>
        <v>1675419.0474852056</v>
      </c>
      <c r="F40" s="15">
        <f t="shared" si="2"/>
        <v>10618.742794681792</v>
      </c>
      <c r="G40" s="15">
        <f t="shared" si="3"/>
        <v>9075.1865072115306</v>
      </c>
      <c r="H40" s="15">
        <f t="shared" si="4"/>
        <v>1543.5562874702609</v>
      </c>
      <c r="I40" s="15">
        <f t="shared" si="5"/>
        <v>1673875.4911977353</v>
      </c>
      <c r="J40" s="215"/>
    </row>
    <row r="41" spans="2:10" ht="15.75" customHeight="1" x14ac:dyDescent="0.2">
      <c r="B41" s="59">
        <f t="shared" si="6"/>
        <v>29</v>
      </c>
      <c r="C41" s="59">
        <f t="shared" si="0"/>
        <v>3</v>
      </c>
      <c r="D41" s="59" t="str">
        <f t="shared" si="1"/>
        <v>Amort</v>
      </c>
      <c r="E41" s="15">
        <f t="shared" si="7"/>
        <v>1673875.4911977353</v>
      </c>
      <c r="F41" s="15">
        <f t="shared" si="2"/>
        <v>10618.742794681792</v>
      </c>
      <c r="G41" s="15">
        <f t="shared" si="3"/>
        <v>9066.8255773210658</v>
      </c>
      <c r="H41" s="15">
        <f t="shared" si="4"/>
        <v>1551.9172173607258</v>
      </c>
      <c r="I41" s="15">
        <f t="shared" si="5"/>
        <v>1672323.5739803745</v>
      </c>
      <c r="J41" s="215"/>
    </row>
    <row r="42" spans="2:10" ht="15.75" customHeight="1" x14ac:dyDescent="0.2">
      <c r="B42" s="59">
        <f t="shared" si="6"/>
        <v>30</v>
      </c>
      <c r="C42" s="59">
        <f t="shared" si="0"/>
        <v>3</v>
      </c>
      <c r="D42" s="59" t="str">
        <f t="shared" si="1"/>
        <v>Amort</v>
      </c>
      <c r="E42" s="15">
        <f t="shared" si="7"/>
        <v>1672323.5739803745</v>
      </c>
      <c r="F42" s="15">
        <f t="shared" si="2"/>
        <v>10618.742794681792</v>
      </c>
      <c r="G42" s="15">
        <f t="shared" si="3"/>
        <v>9058.4193590603627</v>
      </c>
      <c r="H42" s="15">
        <f t="shared" si="4"/>
        <v>1560.3234356214289</v>
      </c>
      <c r="I42" s="15">
        <f t="shared" si="5"/>
        <v>1670763.2505447532</v>
      </c>
      <c r="J42" s="215"/>
    </row>
    <row r="43" spans="2:10" ht="15.75" customHeight="1" x14ac:dyDescent="0.2">
      <c r="B43" s="59">
        <f t="shared" si="6"/>
        <v>31</v>
      </c>
      <c r="C43" s="59">
        <f t="shared" si="0"/>
        <v>3</v>
      </c>
      <c r="D43" s="59" t="str">
        <f t="shared" si="1"/>
        <v>Amort</v>
      </c>
      <c r="E43" s="15">
        <f t="shared" si="7"/>
        <v>1670763.2505447532</v>
      </c>
      <c r="F43" s="15">
        <f t="shared" si="2"/>
        <v>10618.742794681792</v>
      </c>
      <c r="G43" s="15">
        <f t="shared" si="3"/>
        <v>9049.9676071174126</v>
      </c>
      <c r="H43" s="15">
        <f t="shared" si="4"/>
        <v>1568.7751875643789</v>
      </c>
      <c r="I43" s="15">
        <f t="shared" si="5"/>
        <v>1669194.4753571888</v>
      </c>
      <c r="J43" s="215"/>
    </row>
    <row r="44" spans="2:10" ht="15.75" customHeight="1" x14ac:dyDescent="0.2">
      <c r="B44" s="59">
        <f t="shared" si="6"/>
        <v>32</v>
      </c>
      <c r="C44" s="59">
        <f t="shared" si="0"/>
        <v>3</v>
      </c>
      <c r="D44" s="59" t="str">
        <f t="shared" si="1"/>
        <v>Amort</v>
      </c>
      <c r="E44" s="15">
        <f t="shared" si="7"/>
        <v>1669194.4753571888</v>
      </c>
      <c r="F44" s="15">
        <f t="shared" si="2"/>
        <v>10618.742794681792</v>
      </c>
      <c r="G44" s="15">
        <f t="shared" si="3"/>
        <v>9041.4700748514406</v>
      </c>
      <c r="H44" s="15">
        <f t="shared" si="4"/>
        <v>1577.272719830351</v>
      </c>
      <c r="I44" s="15">
        <f t="shared" si="5"/>
        <v>1667617.2026373586</v>
      </c>
      <c r="J44" s="215"/>
    </row>
    <row r="45" spans="2:10" ht="15.75" customHeight="1" x14ac:dyDescent="0.2">
      <c r="B45" s="59">
        <f t="shared" si="6"/>
        <v>33</v>
      </c>
      <c r="C45" s="59">
        <f t="shared" ref="C45:C76" si="8">CEILING(B45/12,1)</f>
        <v>3</v>
      </c>
      <c r="D45" s="59" t="str">
        <f t="shared" ref="D45:D76" si="9">IF(B45&lt;=$C$7,"IO","Amort")</f>
        <v>Amort</v>
      </c>
      <c r="E45" s="15">
        <f t="shared" si="7"/>
        <v>1667617.2026373586</v>
      </c>
      <c r="F45" s="15">
        <f t="shared" ref="F45:F76" si="10">IF(D45="IO",E45*$C$9,$C$10)</f>
        <v>10618.742794681792</v>
      </c>
      <c r="G45" s="15">
        <f t="shared" ref="G45:G76" si="11">E45*$C$9</f>
        <v>9032.926514285693</v>
      </c>
      <c r="H45" s="15">
        <f t="shared" ref="H45:H76" si="12">F45-G45</f>
        <v>1585.8162803960986</v>
      </c>
      <c r="I45" s="15">
        <f t="shared" ref="I45:I76" si="13">E45-H45</f>
        <v>1666031.3863569624</v>
      </c>
      <c r="J45" s="215"/>
    </row>
    <row r="46" spans="2:10" ht="15.75" customHeight="1" x14ac:dyDescent="0.2">
      <c r="B46" s="59">
        <f t="shared" ref="B46:B77" si="14">B45+1</f>
        <v>34</v>
      </c>
      <c r="C46" s="59">
        <f t="shared" si="8"/>
        <v>3</v>
      </c>
      <c r="D46" s="59" t="str">
        <f t="shared" si="9"/>
        <v>Amort</v>
      </c>
      <c r="E46" s="15">
        <f t="shared" ref="E46:E77" si="15">I45</f>
        <v>1666031.3863569624</v>
      </c>
      <c r="F46" s="15">
        <f t="shared" si="10"/>
        <v>10618.742794681792</v>
      </c>
      <c r="G46" s="15">
        <f t="shared" si="11"/>
        <v>9024.3366761002126</v>
      </c>
      <c r="H46" s="15">
        <f t="shared" si="12"/>
        <v>1594.406118581579</v>
      </c>
      <c r="I46" s="15">
        <f t="shared" si="13"/>
        <v>1664436.9802383808</v>
      </c>
      <c r="J46" s="215"/>
    </row>
    <row r="47" spans="2:10" ht="15.75" customHeight="1" x14ac:dyDescent="0.2">
      <c r="B47" s="59">
        <f t="shared" si="14"/>
        <v>35</v>
      </c>
      <c r="C47" s="59">
        <f t="shared" si="8"/>
        <v>3</v>
      </c>
      <c r="D47" s="59" t="str">
        <f t="shared" si="9"/>
        <v>Amort</v>
      </c>
      <c r="E47" s="15">
        <f t="shared" si="15"/>
        <v>1664436.9802383808</v>
      </c>
      <c r="F47" s="15">
        <f t="shared" si="10"/>
        <v>10618.742794681792</v>
      </c>
      <c r="G47" s="15">
        <f t="shared" si="11"/>
        <v>9015.7003096245626</v>
      </c>
      <c r="H47" s="15">
        <f t="shared" si="12"/>
        <v>1603.042485057229</v>
      </c>
      <c r="I47" s="15">
        <f t="shared" si="13"/>
        <v>1662833.9377533237</v>
      </c>
      <c r="J47" s="215"/>
    </row>
    <row r="48" spans="2:10" ht="15.75" customHeight="1" x14ac:dyDescent="0.2">
      <c r="B48" s="59">
        <f t="shared" si="14"/>
        <v>36</v>
      </c>
      <c r="C48" s="59">
        <f t="shared" si="8"/>
        <v>3</v>
      </c>
      <c r="D48" s="59" t="str">
        <f t="shared" si="9"/>
        <v>Amort</v>
      </c>
      <c r="E48" s="15">
        <f t="shared" si="15"/>
        <v>1662833.9377533237</v>
      </c>
      <c r="F48" s="15">
        <f t="shared" si="10"/>
        <v>10618.742794681792</v>
      </c>
      <c r="G48" s="15">
        <f t="shared" si="11"/>
        <v>9007.0171628305034</v>
      </c>
      <c r="H48" s="15">
        <f t="shared" si="12"/>
        <v>1611.7256318512882</v>
      </c>
      <c r="I48" s="15">
        <f t="shared" si="13"/>
        <v>1661222.2121214725</v>
      </c>
      <c r="J48" s="215"/>
    </row>
    <row r="49" spans="2:10" ht="15.75" customHeight="1" x14ac:dyDescent="0.2">
      <c r="B49" s="60">
        <f t="shared" si="14"/>
        <v>37</v>
      </c>
      <c r="C49" s="60">
        <f t="shared" si="8"/>
        <v>4</v>
      </c>
      <c r="D49" s="60" t="str">
        <f t="shared" si="9"/>
        <v>Amort</v>
      </c>
      <c r="E49" s="28">
        <f t="shared" si="15"/>
        <v>1661222.2121214725</v>
      </c>
      <c r="F49" s="28">
        <f t="shared" si="10"/>
        <v>10618.742794681792</v>
      </c>
      <c r="G49" s="28">
        <f t="shared" si="11"/>
        <v>8998.2869823246419</v>
      </c>
      <c r="H49" s="28">
        <f t="shared" si="12"/>
        <v>1620.4558123571496</v>
      </c>
      <c r="I49" s="28">
        <f t="shared" si="13"/>
        <v>1659601.7563091153</v>
      </c>
      <c r="J49" s="215"/>
    </row>
    <row r="50" spans="2:10" ht="15.75" customHeight="1" x14ac:dyDescent="0.2">
      <c r="B50" s="60">
        <f t="shared" si="14"/>
        <v>38</v>
      </c>
      <c r="C50" s="60">
        <f t="shared" si="8"/>
        <v>4</v>
      </c>
      <c r="D50" s="60" t="str">
        <f t="shared" si="9"/>
        <v>Amort</v>
      </c>
      <c r="E50" s="28">
        <f t="shared" si="15"/>
        <v>1659601.7563091153</v>
      </c>
      <c r="F50" s="28">
        <f t="shared" si="10"/>
        <v>10618.742794681792</v>
      </c>
      <c r="G50" s="28">
        <f t="shared" si="11"/>
        <v>8989.5095133410414</v>
      </c>
      <c r="H50" s="28">
        <f t="shared" si="12"/>
        <v>1629.2332813407502</v>
      </c>
      <c r="I50" s="28">
        <f t="shared" si="13"/>
        <v>1657972.5230277746</v>
      </c>
      <c r="J50" s="215"/>
    </row>
    <row r="51" spans="2:10" ht="15.75" customHeight="1" x14ac:dyDescent="0.2">
      <c r="B51" s="60">
        <f t="shared" si="14"/>
        <v>39</v>
      </c>
      <c r="C51" s="60">
        <f t="shared" si="8"/>
        <v>4</v>
      </c>
      <c r="D51" s="60" t="str">
        <f t="shared" si="9"/>
        <v>Amort</v>
      </c>
      <c r="E51" s="28">
        <f t="shared" si="15"/>
        <v>1657972.5230277746</v>
      </c>
      <c r="F51" s="28">
        <f t="shared" si="10"/>
        <v>10618.742794681792</v>
      </c>
      <c r="G51" s="28">
        <f t="shared" si="11"/>
        <v>8980.6844997337794</v>
      </c>
      <c r="H51" s="28">
        <f t="shared" si="12"/>
        <v>1638.0582949480122</v>
      </c>
      <c r="I51" s="28">
        <f t="shared" si="13"/>
        <v>1656334.4647328267</v>
      </c>
      <c r="J51" s="215"/>
    </row>
    <row r="52" spans="2:10" ht="15.75" customHeight="1" x14ac:dyDescent="0.2">
      <c r="B52" s="60">
        <f t="shared" si="14"/>
        <v>40</v>
      </c>
      <c r="C52" s="60">
        <f t="shared" si="8"/>
        <v>4</v>
      </c>
      <c r="D52" s="60" t="str">
        <f t="shared" si="9"/>
        <v>Amort</v>
      </c>
      <c r="E52" s="28">
        <f t="shared" si="15"/>
        <v>1656334.4647328267</v>
      </c>
      <c r="F52" s="28">
        <f t="shared" si="10"/>
        <v>10618.742794681792</v>
      </c>
      <c r="G52" s="28">
        <f t="shared" si="11"/>
        <v>8971.8116839694776</v>
      </c>
      <c r="H52" s="28">
        <f t="shared" si="12"/>
        <v>1646.931110712314</v>
      </c>
      <c r="I52" s="28">
        <f t="shared" si="13"/>
        <v>1654687.5336221145</v>
      </c>
      <c r="J52" s="215"/>
    </row>
    <row r="53" spans="2:10" ht="15.75" customHeight="1" x14ac:dyDescent="0.2">
      <c r="B53" s="60">
        <f t="shared" si="14"/>
        <v>41</v>
      </c>
      <c r="C53" s="60">
        <f t="shared" si="8"/>
        <v>4</v>
      </c>
      <c r="D53" s="60" t="str">
        <f t="shared" si="9"/>
        <v>Amort</v>
      </c>
      <c r="E53" s="28">
        <f t="shared" si="15"/>
        <v>1654687.5336221145</v>
      </c>
      <c r="F53" s="28">
        <f t="shared" si="10"/>
        <v>10618.742794681792</v>
      </c>
      <c r="G53" s="28">
        <f t="shared" si="11"/>
        <v>8962.8908071197875</v>
      </c>
      <c r="H53" s="28">
        <f t="shared" si="12"/>
        <v>1655.8519875620041</v>
      </c>
      <c r="I53" s="28">
        <f t="shared" si="13"/>
        <v>1653031.6816345525</v>
      </c>
      <c r="J53" s="215"/>
    </row>
    <row r="54" spans="2:10" ht="15.75" customHeight="1" x14ac:dyDescent="0.2">
      <c r="B54" s="60">
        <f t="shared" si="14"/>
        <v>42</v>
      </c>
      <c r="C54" s="60">
        <f t="shared" si="8"/>
        <v>4</v>
      </c>
      <c r="D54" s="60" t="str">
        <f t="shared" si="9"/>
        <v>Amort</v>
      </c>
      <c r="E54" s="28">
        <f t="shared" si="15"/>
        <v>1653031.6816345525</v>
      </c>
      <c r="F54" s="28">
        <f t="shared" si="10"/>
        <v>10618.742794681792</v>
      </c>
      <c r="G54" s="28">
        <f t="shared" si="11"/>
        <v>8953.9216088538269</v>
      </c>
      <c r="H54" s="28">
        <f t="shared" si="12"/>
        <v>1664.8211858279647</v>
      </c>
      <c r="I54" s="28">
        <f t="shared" si="13"/>
        <v>1651366.8604487246</v>
      </c>
      <c r="J54" s="215"/>
    </row>
    <row r="55" spans="2:10" ht="15.75" customHeight="1" x14ac:dyDescent="0.2">
      <c r="B55" s="60">
        <f t="shared" si="14"/>
        <v>43</v>
      </c>
      <c r="C55" s="60">
        <f t="shared" si="8"/>
        <v>4</v>
      </c>
      <c r="D55" s="60" t="str">
        <f t="shared" si="9"/>
        <v>Amort</v>
      </c>
      <c r="E55" s="28">
        <f t="shared" si="15"/>
        <v>1651366.8604487246</v>
      </c>
      <c r="F55" s="28">
        <f t="shared" si="10"/>
        <v>10618.742794681792</v>
      </c>
      <c r="G55" s="28">
        <f t="shared" si="11"/>
        <v>8944.9038274305913</v>
      </c>
      <c r="H55" s="28">
        <f t="shared" si="12"/>
        <v>1673.8389672512003</v>
      </c>
      <c r="I55" s="28">
        <f t="shared" si="13"/>
        <v>1649693.0214814735</v>
      </c>
      <c r="J55" s="215"/>
    </row>
    <row r="56" spans="2:10" ht="15.75" customHeight="1" x14ac:dyDescent="0.2">
      <c r="B56" s="60">
        <f t="shared" si="14"/>
        <v>44</v>
      </c>
      <c r="C56" s="60">
        <f t="shared" si="8"/>
        <v>4</v>
      </c>
      <c r="D56" s="60" t="str">
        <f t="shared" si="9"/>
        <v>Amort</v>
      </c>
      <c r="E56" s="28">
        <f t="shared" si="15"/>
        <v>1649693.0214814735</v>
      </c>
      <c r="F56" s="28">
        <f t="shared" si="10"/>
        <v>10618.742794681792</v>
      </c>
      <c r="G56" s="28">
        <f t="shared" si="11"/>
        <v>8935.8371996913156</v>
      </c>
      <c r="H56" s="28">
        <f t="shared" si="12"/>
        <v>1682.9055949904759</v>
      </c>
      <c r="I56" s="28">
        <f t="shared" si="13"/>
        <v>1648010.1158864829</v>
      </c>
      <c r="J56" s="215"/>
    </row>
    <row r="57" spans="2:10" ht="15.75" customHeight="1" x14ac:dyDescent="0.2">
      <c r="B57" s="60">
        <f t="shared" si="14"/>
        <v>45</v>
      </c>
      <c r="C57" s="60">
        <f t="shared" si="8"/>
        <v>4</v>
      </c>
      <c r="D57" s="60" t="str">
        <f t="shared" si="9"/>
        <v>Amort</v>
      </c>
      <c r="E57" s="28">
        <f t="shared" si="15"/>
        <v>1648010.1158864829</v>
      </c>
      <c r="F57" s="28">
        <f t="shared" si="10"/>
        <v>10618.742794681792</v>
      </c>
      <c r="G57" s="28">
        <f t="shared" si="11"/>
        <v>8926.7214610517822</v>
      </c>
      <c r="H57" s="28">
        <f t="shared" si="12"/>
        <v>1692.0213336300094</v>
      </c>
      <c r="I57" s="28">
        <f t="shared" si="13"/>
        <v>1646318.0945528529</v>
      </c>
      <c r="J57" s="215"/>
    </row>
    <row r="58" spans="2:10" ht="15.75" customHeight="1" x14ac:dyDescent="0.2">
      <c r="B58" s="60">
        <f t="shared" si="14"/>
        <v>46</v>
      </c>
      <c r="C58" s="60">
        <f t="shared" si="8"/>
        <v>4</v>
      </c>
      <c r="D58" s="60" t="str">
        <f t="shared" si="9"/>
        <v>Amort</v>
      </c>
      <c r="E58" s="28">
        <f t="shared" si="15"/>
        <v>1646318.0945528529</v>
      </c>
      <c r="F58" s="28">
        <f t="shared" si="10"/>
        <v>10618.742794681792</v>
      </c>
      <c r="G58" s="28">
        <f t="shared" si="11"/>
        <v>8917.5563454946205</v>
      </c>
      <c r="H58" s="28">
        <f t="shared" si="12"/>
        <v>1701.1864491871711</v>
      </c>
      <c r="I58" s="28">
        <f t="shared" si="13"/>
        <v>1644616.9081036658</v>
      </c>
      <c r="J58" s="215"/>
    </row>
    <row r="59" spans="2:10" ht="15.75" customHeight="1" x14ac:dyDescent="0.2">
      <c r="B59" s="60">
        <f t="shared" si="14"/>
        <v>47</v>
      </c>
      <c r="C59" s="60">
        <f t="shared" si="8"/>
        <v>4</v>
      </c>
      <c r="D59" s="60" t="str">
        <f t="shared" si="9"/>
        <v>Amort</v>
      </c>
      <c r="E59" s="28">
        <f t="shared" si="15"/>
        <v>1644616.9081036658</v>
      </c>
      <c r="F59" s="28">
        <f t="shared" si="10"/>
        <v>10618.742794681792</v>
      </c>
      <c r="G59" s="28">
        <f t="shared" si="11"/>
        <v>8908.341585561524</v>
      </c>
      <c r="H59" s="28">
        <f t="shared" si="12"/>
        <v>1710.4012091202676</v>
      </c>
      <c r="I59" s="28">
        <f t="shared" si="13"/>
        <v>1642906.5068945456</v>
      </c>
      <c r="J59" s="215"/>
    </row>
    <row r="60" spans="2:10" ht="15.75" customHeight="1" x14ac:dyDescent="0.2">
      <c r="B60" s="60">
        <f t="shared" si="14"/>
        <v>48</v>
      </c>
      <c r="C60" s="60">
        <f t="shared" si="8"/>
        <v>4</v>
      </c>
      <c r="D60" s="60" t="str">
        <f t="shared" si="9"/>
        <v>Amort</v>
      </c>
      <c r="E60" s="28">
        <f t="shared" si="15"/>
        <v>1642906.5068945456</v>
      </c>
      <c r="F60" s="28">
        <f t="shared" si="10"/>
        <v>10618.742794681792</v>
      </c>
      <c r="G60" s="28">
        <f t="shared" si="11"/>
        <v>8899.0769123454556</v>
      </c>
      <c r="H60" s="28">
        <f t="shared" si="12"/>
        <v>1719.6658823363359</v>
      </c>
      <c r="I60" s="28">
        <f t="shared" si="13"/>
        <v>1641186.8410122092</v>
      </c>
      <c r="J60" s="215"/>
    </row>
    <row r="61" spans="2:10" ht="15.75" customHeight="1" x14ac:dyDescent="0.2">
      <c r="B61" s="59">
        <f t="shared" si="14"/>
        <v>49</v>
      </c>
      <c r="C61" s="59">
        <f t="shared" si="8"/>
        <v>5</v>
      </c>
      <c r="D61" s="59" t="str">
        <f t="shared" si="9"/>
        <v>Amort</v>
      </c>
      <c r="E61" s="15">
        <f t="shared" si="15"/>
        <v>1641186.8410122092</v>
      </c>
      <c r="F61" s="15">
        <f t="shared" si="10"/>
        <v>10618.742794681792</v>
      </c>
      <c r="G61" s="15">
        <f t="shared" si="11"/>
        <v>8889.7620554828009</v>
      </c>
      <c r="H61" s="15">
        <f t="shared" si="12"/>
        <v>1728.9807391989907</v>
      </c>
      <c r="I61" s="15">
        <f t="shared" si="13"/>
        <v>1639457.8602730101</v>
      </c>
      <c r="J61" s="215"/>
    </row>
    <row r="62" spans="2:10" ht="15.75" customHeight="1" x14ac:dyDescent="0.2">
      <c r="B62" s="59">
        <f t="shared" si="14"/>
        <v>50</v>
      </c>
      <c r="C62" s="59">
        <f t="shared" si="8"/>
        <v>5</v>
      </c>
      <c r="D62" s="59" t="str">
        <f t="shared" si="9"/>
        <v>Amort</v>
      </c>
      <c r="E62" s="15">
        <f t="shared" si="15"/>
        <v>1639457.8602730101</v>
      </c>
      <c r="F62" s="15">
        <f t="shared" si="10"/>
        <v>10618.742794681792</v>
      </c>
      <c r="G62" s="15">
        <f t="shared" si="11"/>
        <v>8880.3967431454712</v>
      </c>
      <c r="H62" s="15">
        <f t="shared" si="12"/>
        <v>1738.3460515363204</v>
      </c>
      <c r="I62" s="15">
        <f t="shared" si="13"/>
        <v>1637719.5142214738</v>
      </c>
      <c r="J62" s="215"/>
    </row>
    <row r="63" spans="2:10" ht="15.75" customHeight="1" x14ac:dyDescent="0.2">
      <c r="B63" s="59">
        <f t="shared" si="14"/>
        <v>51</v>
      </c>
      <c r="C63" s="59">
        <f t="shared" si="8"/>
        <v>5</v>
      </c>
      <c r="D63" s="59" t="str">
        <f t="shared" si="9"/>
        <v>Amort</v>
      </c>
      <c r="E63" s="15">
        <f t="shared" si="15"/>
        <v>1637719.5142214738</v>
      </c>
      <c r="F63" s="15">
        <f t="shared" si="10"/>
        <v>10618.742794681792</v>
      </c>
      <c r="G63" s="15">
        <f t="shared" si="11"/>
        <v>8870.9807020329827</v>
      </c>
      <c r="H63" s="15">
        <f t="shared" si="12"/>
        <v>1747.7620926488089</v>
      </c>
      <c r="I63" s="15">
        <f t="shared" si="13"/>
        <v>1635971.7521288251</v>
      </c>
      <c r="J63" s="215"/>
    </row>
    <row r="64" spans="2:10" ht="15.75" customHeight="1" x14ac:dyDescent="0.2">
      <c r="B64" s="59">
        <f t="shared" si="14"/>
        <v>52</v>
      </c>
      <c r="C64" s="59">
        <f t="shared" si="8"/>
        <v>5</v>
      </c>
      <c r="D64" s="59" t="str">
        <f t="shared" si="9"/>
        <v>Amort</v>
      </c>
      <c r="E64" s="15">
        <f t="shared" si="15"/>
        <v>1635971.7521288251</v>
      </c>
      <c r="F64" s="15">
        <f t="shared" si="10"/>
        <v>10618.742794681792</v>
      </c>
      <c r="G64" s="15">
        <f t="shared" si="11"/>
        <v>8861.5136573644686</v>
      </c>
      <c r="H64" s="15">
        <f t="shared" si="12"/>
        <v>1757.229137317323</v>
      </c>
      <c r="I64" s="15">
        <f t="shared" si="13"/>
        <v>1634214.5229915078</v>
      </c>
      <c r="J64" s="215"/>
    </row>
    <row r="65" spans="2:10" ht="15.75" customHeight="1" x14ac:dyDescent="0.2">
      <c r="B65" s="59">
        <f t="shared" si="14"/>
        <v>53</v>
      </c>
      <c r="C65" s="59">
        <f t="shared" si="8"/>
        <v>5</v>
      </c>
      <c r="D65" s="59" t="str">
        <f t="shared" si="9"/>
        <v>Amort</v>
      </c>
      <c r="E65" s="15">
        <f t="shared" si="15"/>
        <v>1634214.5229915078</v>
      </c>
      <c r="F65" s="15">
        <f t="shared" si="10"/>
        <v>10618.742794681792</v>
      </c>
      <c r="G65" s="15">
        <f t="shared" si="11"/>
        <v>8851.995332870667</v>
      </c>
      <c r="H65" s="15">
        <f t="shared" si="12"/>
        <v>1766.7474618111246</v>
      </c>
      <c r="I65" s="15">
        <f t="shared" si="13"/>
        <v>1632447.7755296966</v>
      </c>
      <c r="J65" s="215"/>
    </row>
    <row r="66" spans="2:10" ht="15.75" customHeight="1" x14ac:dyDescent="0.2">
      <c r="B66" s="59">
        <f t="shared" si="14"/>
        <v>54</v>
      </c>
      <c r="C66" s="59">
        <f t="shared" si="8"/>
        <v>5</v>
      </c>
      <c r="D66" s="59" t="str">
        <f t="shared" si="9"/>
        <v>Amort</v>
      </c>
      <c r="E66" s="15">
        <f t="shared" si="15"/>
        <v>1632447.7755296966</v>
      </c>
      <c r="F66" s="15">
        <f t="shared" si="10"/>
        <v>10618.742794681792</v>
      </c>
      <c r="G66" s="15">
        <f t="shared" si="11"/>
        <v>8842.4254507858568</v>
      </c>
      <c r="H66" s="15">
        <f t="shared" si="12"/>
        <v>1776.3173438959348</v>
      </c>
      <c r="I66" s="15">
        <f t="shared" si="13"/>
        <v>1630671.4581858006</v>
      </c>
      <c r="J66" s="215"/>
    </row>
    <row r="67" spans="2:10" ht="15.75" customHeight="1" x14ac:dyDescent="0.2">
      <c r="B67" s="59">
        <f t="shared" si="14"/>
        <v>55</v>
      </c>
      <c r="C67" s="59">
        <f t="shared" si="8"/>
        <v>5</v>
      </c>
      <c r="D67" s="59" t="str">
        <f t="shared" si="9"/>
        <v>Amort</v>
      </c>
      <c r="E67" s="15">
        <f t="shared" si="15"/>
        <v>1630671.4581858006</v>
      </c>
      <c r="F67" s="15">
        <f t="shared" si="10"/>
        <v>10618.742794681792</v>
      </c>
      <c r="G67" s="15">
        <f t="shared" si="11"/>
        <v>8832.8037318397528</v>
      </c>
      <c r="H67" s="15">
        <f t="shared" si="12"/>
        <v>1785.9390628420388</v>
      </c>
      <c r="I67" s="15">
        <f t="shared" si="13"/>
        <v>1628885.5191229586</v>
      </c>
      <c r="J67" s="215"/>
    </row>
    <row r="68" spans="2:10" ht="15.75" customHeight="1" x14ac:dyDescent="0.2">
      <c r="B68" s="59">
        <f t="shared" si="14"/>
        <v>56</v>
      </c>
      <c r="C68" s="59">
        <f t="shared" si="8"/>
        <v>5</v>
      </c>
      <c r="D68" s="59" t="str">
        <f t="shared" si="9"/>
        <v>Amort</v>
      </c>
      <c r="E68" s="15">
        <f t="shared" si="15"/>
        <v>1628885.5191229586</v>
      </c>
      <c r="F68" s="15">
        <f t="shared" si="10"/>
        <v>10618.742794681792</v>
      </c>
      <c r="G68" s="15">
        <f t="shared" si="11"/>
        <v>8823.1298952493598</v>
      </c>
      <c r="H68" s="15">
        <f t="shared" si="12"/>
        <v>1795.6128994324317</v>
      </c>
      <c r="I68" s="15">
        <f t="shared" si="13"/>
        <v>1627089.9062235262</v>
      </c>
      <c r="J68" s="215"/>
    </row>
    <row r="69" spans="2:10" ht="15.75" customHeight="1" x14ac:dyDescent="0.2">
      <c r="B69" s="59">
        <f t="shared" si="14"/>
        <v>57</v>
      </c>
      <c r="C69" s="59">
        <f t="shared" si="8"/>
        <v>5</v>
      </c>
      <c r="D69" s="59" t="str">
        <f t="shared" si="9"/>
        <v>Amort</v>
      </c>
      <c r="E69" s="15">
        <f t="shared" si="15"/>
        <v>1627089.9062235262</v>
      </c>
      <c r="F69" s="15">
        <f t="shared" si="10"/>
        <v>10618.742794681792</v>
      </c>
      <c r="G69" s="15">
        <f t="shared" si="11"/>
        <v>8813.4036587107676</v>
      </c>
      <c r="H69" s="15">
        <f t="shared" si="12"/>
        <v>1805.339135971024</v>
      </c>
      <c r="I69" s="15">
        <f t="shared" si="13"/>
        <v>1625284.5670875553</v>
      </c>
      <c r="J69" s="215"/>
    </row>
    <row r="70" spans="2:10" ht="15.75" customHeight="1" x14ac:dyDescent="0.2">
      <c r="B70" s="59">
        <f t="shared" si="14"/>
        <v>58</v>
      </c>
      <c r="C70" s="59">
        <f t="shared" si="8"/>
        <v>5</v>
      </c>
      <c r="D70" s="59" t="str">
        <f t="shared" si="9"/>
        <v>Amort</v>
      </c>
      <c r="E70" s="15">
        <f t="shared" si="15"/>
        <v>1625284.5670875553</v>
      </c>
      <c r="F70" s="15">
        <f t="shared" si="10"/>
        <v>10618.742794681792</v>
      </c>
      <c r="G70" s="15">
        <f t="shared" si="11"/>
        <v>8803.6247383909249</v>
      </c>
      <c r="H70" s="15">
        <f t="shared" si="12"/>
        <v>1815.1180562908667</v>
      </c>
      <c r="I70" s="15">
        <f t="shared" si="13"/>
        <v>1623469.4490312645</v>
      </c>
      <c r="J70" s="215"/>
    </row>
    <row r="71" spans="2:10" ht="15.75" customHeight="1" x14ac:dyDescent="0.2">
      <c r="B71" s="59">
        <f t="shared" si="14"/>
        <v>59</v>
      </c>
      <c r="C71" s="59">
        <f t="shared" si="8"/>
        <v>5</v>
      </c>
      <c r="D71" s="59" t="str">
        <f t="shared" si="9"/>
        <v>Amort</v>
      </c>
      <c r="E71" s="15">
        <f t="shared" si="15"/>
        <v>1623469.4490312645</v>
      </c>
      <c r="F71" s="15">
        <f t="shared" si="10"/>
        <v>10618.742794681792</v>
      </c>
      <c r="G71" s="15">
        <f t="shared" si="11"/>
        <v>8793.7928489193491</v>
      </c>
      <c r="H71" s="15">
        <f t="shared" si="12"/>
        <v>1824.9499457624424</v>
      </c>
      <c r="I71" s="15">
        <f t="shared" si="13"/>
        <v>1621644.499085502</v>
      </c>
      <c r="J71" s="215"/>
    </row>
    <row r="72" spans="2:10" ht="15.75" customHeight="1" x14ac:dyDescent="0.2">
      <c r="B72" s="59">
        <f t="shared" si="14"/>
        <v>60</v>
      </c>
      <c r="C72" s="59">
        <f t="shared" si="8"/>
        <v>5</v>
      </c>
      <c r="D72" s="59" t="str">
        <f t="shared" si="9"/>
        <v>Amort</v>
      </c>
      <c r="E72" s="15">
        <f t="shared" si="15"/>
        <v>1621644.499085502</v>
      </c>
      <c r="F72" s="15">
        <f t="shared" si="10"/>
        <v>10618.742794681792</v>
      </c>
      <c r="G72" s="15">
        <f t="shared" si="11"/>
        <v>8783.9077033798021</v>
      </c>
      <c r="H72" s="15">
        <f t="shared" si="12"/>
        <v>1834.8350913019895</v>
      </c>
      <c r="I72" s="15">
        <f t="shared" si="13"/>
        <v>1619809.6639942001</v>
      </c>
      <c r="J72" s="215"/>
    </row>
    <row r="73" spans="2:10" ht="15.75" customHeight="1" x14ac:dyDescent="0.2">
      <c r="B73" s="60">
        <f t="shared" si="14"/>
        <v>61</v>
      </c>
      <c r="C73" s="60">
        <f t="shared" si="8"/>
        <v>6</v>
      </c>
      <c r="D73" s="60" t="str">
        <f t="shared" si="9"/>
        <v>Amort</v>
      </c>
      <c r="E73" s="28">
        <f t="shared" si="15"/>
        <v>1619809.6639942001</v>
      </c>
      <c r="F73" s="28">
        <f t="shared" si="10"/>
        <v>10618.742794681792</v>
      </c>
      <c r="G73" s="28">
        <f t="shared" si="11"/>
        <v>8773.9690133019176</v>
      </c>
      <c r="H73" s="28">
        <f t="shared" si="12"/>
        <v>1844.773781379874</v>
      </c>
      <c r="I73" s="28">
        <f t="shared" si="13"/>
        <v>1617964.8902128201</v>
      </c>
      <c r="J73" s="215"/>
    </row>
    <row r="74" spans="2:10" ht="15.75" customHeight="1" x14ac:dyDescent="0.2">
      <c r="B74" s="60">
        <f t="shared" si="14"/>
        <v>62</v>
      </c>
      <c r="C74" s="60">
        <f t="shared" si="8"/>
        <v>6</v>
      </c>
      <c r="D74" s="60" t="str">
        <f t="shared" si="9"/>
        <v>Amort</v>
      </c>
      <c r="E74" s="28">
        <f t="shared" si="15"/>
        <v>1617964.8902128201</v>
      </c>
      <c r="F74" s="28">
        <f t="shared" si="10"/>
        <v>10618.742794681792</v>
      </c>
      <c r="G74" s="28">
        <f t="shared" si="11"/>
        <v>8763.9764886527755</v>
      </c>
      <c r="H74" s="28">
        <f t="shared" si="12"/>
        <v>1854.7663060290161</v>
      </c>
      <c r="I74" s="28">
        <f t="shared" si="13"/>
        <v>1616110.1239067912</v>
      </c>
      <c r="J74" s="215"/>
    </row>
    <row r="75" spans="2:10" ht="15.75" customHeight="1" x14ac:dyDescent="0.2">
      <c r="B75" s="60">
        <f t="shared" si="14"/>
        <v>63</v>
      </c>
      <c r="C75" s="60">
        <f t="shared" si="8"/>
        <v>6</v>
      </c>
      <c r="D75" s="60" t="str">
        <f t="shared" si="9"/>
        <v>Amort</v>
      </c>
      <c r="E75" s="28">
        <f t="shared" si="15"/>
        <v>1616110.1239067912</v>
      </c>
      <c r="F75" s="28">
        <f t="shared" si="10"/>
        <v>10618.742794681792</v>
      </c>
      <c r="G75" s="28">
        <f t="shared" si="11"/>
        <v>8753.9298378284529</v>
      </c>
      <c r="H75" s="28">
        <f t="shared" si="12"/>
        <v>1864.8129568533386</v>
      </c>
      <c r="I75" s="28">
        <f t="shared" si="13"/>
        <v>1614245.3109499379</v>
      </c>
      <c r="J75" s="215"/>
    </row>
    <row r="76" spans="2:10" ht="15.75" customHeight="1" x14ac:dyDescent="0.2">
      <c r="B76" s="60">
        <f t="shared" si="14"/>
        <v>64</v>
      </c>
      <c r="C76" s="60">
        <f t="shared" si="8"/>
        <v>6</v>
      </c>
      <c r="D76" s="60" t="str">
        <f t="shared" si="9"/>
        <v>Amort</v>
      </c>
      <c r="E76" s="28">
        <f t="shared" si="15"/>
        <v>1614245.3109499379</v>
      </c>
      <c r="F76" s="28">
        <f t="shared" si="10"/>
        <v>10618.742794681792</v>
      </c>
      <c r="G76" s="28">
        <f t="shared" si="11"/>
        <v>8743.8287676454966</v>
      </c>
      <c r="H76" s="28">
        <f t="shared" si="12"/>
        <v>1874.914027036295</v>
      </c>
      <c r="I76" s="28">
        <f t="shared" si="13"/>
        <v>1612370.3969229015</v>
      </c>
      <c r="J76" s="215"/>
    </row>
    <row r="77" spans="2:10" ht="15.75" customHeight="1" x14ac:dyDescent="0.2">
      <c r="B77" s="60">
        <f t="shared" si="14"/>
        <v>65</v>
      </c>
      <c r="C77" s="60">
        <f t="shared" ref="C77:C108" si="16">CEILING(B77/12,1)</f>
        <v>6</v>
      </c>
      <c r="D77" s="60" t="str">
        <f t="shared" ref="D77:D108" si="17">IF(B77&lt;=$C$7,"IO","Amort")</f>
        <v>Amort</v>
      </c>
      <c r="E77" s="28">
        <f t="shared" si="15"/>
        <v>1612370.3969229015</v>
      </c>
      <c r="F77" s="28">
        <f t="shared" ref="F77:F108" si="18">IF(D77="IO",E77*$C$9,$C$10)</f>
        <v>10618.742794681792</v>
      </c>
      <c r="G77" s="28">
        <f t="shared" ref="G77:G108" si="19">E77*$C$9</f>
        <v>8733.6729833323843</v>
      </c>
      <c r="H77" s="28">
        <f t="shared" ref="H77:H108" si="20">F77-G77</f>
        <v>1885.0698113494072</v>
      </c>
      <c r="I77" s="28">
        <f t="shared" ref="I77:I108" si="21">E77-H77</f>
        <v>1610485.327111552</v>
      </c>
      <c r="J77" s="215"/>
    </row>
    <row r="78" spans="2:10" ht="15.75" customHeight="1" x14ac:dyDescent="0.2">
      <c r="B78" s="60">
        <f t="shared" ref="B78:B109" si="22">B77+1</f>
        <v>66</v>
      </c>
      <c r="C78" s="60">
        <f t="shared" si="16"/>
        <v>6</v>
      </c>
      <c r="D78" s="60" t="str">
        <f t="shared" si="17"/>
        <v>Amort</v>
      </c>
      <c r="E78" s="28">
        <f t="shared" ref="E78:E109" si="23">I77</f>
        <v>1610485.327111552</v>
      </c>
      <c r="F78" s="28">
        <f t="shared" si="18"/>
        <v>10618.742794681792</v>
      </c>
      <c r="G78" s="28">
        <f t="shared" si="19"/>
        <v>8723.4621885209071</v>
      </c>
      <c r="H78" s="28">
        <f t="shared" si="20"/>
        <v>1895.2806061608844</v>
      </c>
      <c r="I78" s="28">
        <f t="shared" si="21"/>
        <v>1608590.0465053911</v>
      </c>
      <c r="J78" s="215"/>
    </row>
    <row r="79" spans="2:10" ht="15.75" customHeight="1" x14ac:dyDescent="0.2">
      <c r="B79" s="60">
        <f t="shared" si="22"/>
        <v>67</v>
      </c>
      <c r="C79" s="60">
        <f t="shared" si="16"/>
        <v>6</v>
      </c>
      <c r="D79" s="60" t="str">
        <f t="shared" si="17"/>
        <v>Amort</v>
      </c>
      <c r="E79" s="28">
        <f t="shared" si="23"/>
        <v>1608590.0465053911</v>
      </c>
      <c r="F79" s="28">
        <f t="shared" si="18"/>
        <v>10618.742794681792</v>
      </c>
      <c r="G79" s="28">
        <f t="shared" si="19"/>
        <v>8713.196085237536</v>
      </c>
      <c r="H79" s="28">
        <f t="shared" si="20"/>
        <v>1905.5467094442556</v>
      </c>
      <c r="I79" s="28">
        <f t="shared" si="21"/>
        <v>1606684.499795947</v>
      </c>
      <c r="J79" s="215"/>
    </row>
    <row r="80" spans="2:10" ht="15.75" customHeight="1" x14ac:dyDescent="0.2">
      <c r="B80" s="60">
        <f t="shared" si="22"/>
        <v>68</v>
      </c>
      <c r="C80" s="60">
        <f t="shared" si="16"/>
        <v>6</v>
      </c>
      <c r="D80" s="60" t="str">
        <f t="shared" si="17"/>
        <v>Amort</v>
      </c>
      <c r="E80" s="28">
        <f t="shared" si="23"/>
        <v>1606684.499795947</v>
      </c>
      <c r="F80" s="28">
        <f t="shared" si="18"/>
        <v>10618.742794681792</v>
      </c>
      <c r="G80" s="28">
        <f t="shared" si="19"/>
        <v>8702.8743738947123</v>
      </c>
      <c r="H80" s="28">
        <f t="shared" si="20"/>
        <v>1915.8684207870792</v>
      </c>
      <c r="I80" s="28">
        <f t="shared" si="21"/>
        <v>1604768.6313751598</v>
      </c>
      <c r="J80" s="215"/>
    </row>
    <row r="81" spans="2:10" ht="15.75" customHeight="1" x14ac:dyDescent="0.2">
      <c r="B81" s="60">
        <f t="shared" si="22"/>
        <v>69</v>
      </c>
      <c r="C81" s="60">
        <f t="shared" si="16"/>
        <v>6</v>
      </c>
      <c r="D81" s="60" t="str">
        <f t="shared" si="17"/>
        <v>Amort</v>
      </c>
      <c r="E81" s="28">
        <f t="shared" si="23"/>
        <v>1604768.6313751598</v>
      </c>
      <c r="F81" s="28">
        <f t="shared" si="18"/>
        <v>10618.742794681792</v>
      </c>
      <c r="G81" s="28">
        <f t="shared" si="19"/>
        <v>8692.4967532821156</v>
      </c>
      <c r="H81" s="28">
        <f t="shared" si="20"/>
        <v>1926.246041399676</v>
      </c>
      <c r="I81" s="28">
        <f t="shared" si="21"/>
        <v>1602842.3853337602</v>
      </c>
      <c r="J81" s="215"/>
    </row>
    <row r="82" spans="2:10" ht="15.75" customHeight="1" x14ac:dyDescent="0.2">
      <c r="B82" s="60">
        <f t="shared" si="22"/>
        <v>70</v>
      </c>
      <c r="C82" s="60">
        <f t="shared" si="16"/>
        <v>6</v>
      </c>
      <c r="D82" s="60" t="str">
        <f t="shared" si="17"/>
        <v>Amort</v>
      </c>
      <c r="E82" s="28">
        <f t="shared" si="23"/>
        <v>1602842.3853337602</v>
      </c>
      <c r="F82" s="28">
        <f t="shared" si="18"/>
        <v>10618.742794681792</v>
      </c>
      <c r="G82" s="28">
        <f t="shared" si="19"/>
        <v>8682.062920557868</v>
      </c>
      <c r="H82" s="28">
        <f t="shared" si="20"/>
        <v>1936.6798741239236</v>
      </c>
      <c r="I82" s="28">
        <f t="shared" si="21"/>
        <v>1600905.7054596362</v>
      </c>
      <c r="J82" s="215"/>
    </row>
    <row r="83" spans="2:10" ht="15.75" customHeight="1" x14ac:dyDescent="0.2">
      <c r="B83" s="60">
        <f t="shared" si="22"/>
        <v>71</v>
      </c>
      <c r="C83" s="60">
        <f t="shared" si="16"/>
        <v>6</v>
      </c>
      <c r="D83" s="60" t="str">
        <f t="shared" si="17"/>
        <v>Amort</v>
      </c>
      <c r="E83" s="28">
        <f t="shared" si="23"/>
        <v>1600905.7054596362</v>
      </c>
      <c r="F83" s="28">
        <f t="shared" si="18"/>
        <v>10618.742794681792</v>
      </c>
      <c r="G83" s="28">
        <f t="shared" si="19"/>
        <v>8671.5725712396961</v>
      </c>
      <c r="H83" s="28">
        <f t="shared" si="20"/>
        <v>1947.1702234420954</v>
      </c>
      <c r="I83" s="28">
        <f t="shared" si="21"/>
        <v>1598958.535236194</v>
      </c>
      <c r="J83" s="215"/>
    </row>
    <row r="84" spans="2:10" ht="15.75" customHeight="1" x14ac:dyDescent="0.2">
      <c r="B84" s="60">
        <f t="shared" si="22"/>
        <v>72</v>
      </c>
      <c r="C84" s="60">
        <f t="shared" si="16"/>
        <v>6</v>
      </c>
      <c r="D84" s="60" t="str">
        <f t="shared" si="17"/>
        <v>Amort</v>
      </c>
      <c r="E84" s="28">
        <f t="shared" si="23"/>
        <v>1598958.535236194</v>
      </c>
      <c r="F84" s="28">
        <f t="shared" si="18"/>
        <v>10618.742794681792</v>
      </c>
      <c r="G84" s="28">
        <f t="shared" si="19"/>
        <v>8661.0253991960508</v>
      </c>
      <c r="H84" s="28">
        <f t="shared" si="20"/>
        <v>1957.7173954857408</v>
      </c>
      <c r="I84" s="28">
        <f t="shared" si="21"/>
        <v>1597000.8178407082</v>
      </c>
      <c r="J84" s="215"/>
    </row>
    <row r="85" spans="2:10" ht="15.75" customHeight="1" x14ac:dyDescent="0.2">
      <c r="B85" s="59">
        <f t="shared" si="22"/>
        <v>73</v>
      </c>
      <c r="C85" s="59">
        <f t="shared" si="16"/>
        <v>7</v>
      </c>
      <c r="D85" s="59" t="str">
        <f t="shared" si="17"/>
        <v>Amort</v>
      </c>
      <c r="E85" s="15">
        <f t="shared" si="23"/>
        <v>1597000.8178407082</v>
      </c>
      <c r="F85" s="15">
        <f t="shared" si="18"/>
        <v>10618.742794681792</v>
      </c>
      <c r="G85" s="15">
        <f t="shared" si="19"/>
        <v>8650.4210966371702</v>
      </c>
      <c r="H85" s="15">
        <f t="shared" si="20"/>
        <v>1968.3216980446214</v>
      </c>
      <c r="I85" s="15">
        <f t="shared" si="21"/>
        <v>1595032.4961426635</v>
      </c>
      <c r="J85" s="215"/>
    </row>
    <row r="86" spans="2:10" ht="15.75" customHeight="1" x14ac:dyDescent="0.2">
      <c r="B86" s="59">
        <f t="shared" si="22"/>
        <v>74</v>
      </c>
      <c r="C86" s="59">
        <f t="shared" si="16"/>
        <v>7</v>
      </c>
      <c r="D86" s="59" t="str">
        <f t="shared" si="17"/>
        <v>Amort</v>
      </c>
      <c r="E86" s="15">
        <f t="shared" si="23"/>
        <v>1595032.4961426635</v>
      </c>
      <c r="F86" s="15">
        <f t="shared" si="18"/>
        <v>10618.742794681792</v>
      </c>
      <c r="G86" s="15">
        <f t="shared" si="19"/>
        <v>8639.7593541060942</v>
      </c>
      <c r="H86" s="15">
        <f t="shared" si="20"/>
        <v>1978.9834405756974</v>
      </c>
      <c r="I86" s="15">
        <f t="shared" si="21"/>
        <v>1593053.5127020879</v>
      </c>
      <c r="J86" s="215"/>
    </row>
    <row r="87" spans="2:10" ht="15.75" customHeight="1" x14ac:dyDescent="0.2">
      <c r="B87" s="59">
        <f t="shared" si="22"/>
        <v>75</v>
      </c>
      <c r="C87" s="59">
        <f t="shared" si="16"/>
        <v>7</v>
      </c>
      <c r="D87" s="59" t="str">
        <f t="shared" si="17"/>
        <v>Amort</v>
      </c>
      <c r="E87" s="15">
        <f t="shared" si="23"/>
        <v>1593053.5127020879</v>
      </c>
      <c r="F87" s="15">
        <f t="shared" si="18"/>
        <v>10618.742794681792</v>
      </c>
      <c r="G87" s="15">
        <f t="shared" si="19"/>
        <v>8629.0398604696438</v>
      </c>
      <c r="H87" s="15">
        <f t="shared" si="20"/>
        <v>1989.7029342121477</v>
      </c>
      <c r="I87" s="15">
        <f t="shared" si="21"/>
        <v>1591063.8097678758</v>
      </c>
      <c r="J87" s="215"/>
    </row>
    <row r="88" spans="2:10" ht="15.75" customHeight="1" x14ac:dyDescent="0.2">
      <c r="B88" s="59">
        <f t="shared" si="22"/>
        <v>76</v>
      </c>
      <c r="C88" s="59">
        <f t="shared" si="16"/>
        <v>7</v>
      </c>
      <c r="D88" s="59" t="str">
        <f t="shared" si="17"/>
        <v>Amort</v>
      </c>
      <c r="E88" s="15">
        <f t="shared" si="23"/>
        <v>1591063.8097678758</v>
      </c>
      <c r="F88" s="15">
        <f t="shared" si="18"/>
        <v>10618.742794681792</v>
      </c>
      <c r="G88" s="15">
        <f t="shared" si="19"/>
        <v>8618.2623029093284</v>
      </c>
      <c r="H88" s="15">
        <f t="shared" si="20"/>
        <v>2000.4804917724632</v>
      </c>
      <c r="I88" s="15">
        <f t="shared" si="21"/>
        <v>1589063.3292761033</v>
      </c>
      <c r="J88" s="215"/>
    </row>
    <row r="89" spans="2:10" ht="15.75" customHeight="1" x14ac:dyDescent="0.2">
      <c r="B89" s="59">
        <f t="shared" si="22"/>
        <v>77</v>
      </c>
      <c r="C89" s="59">
        <f t="shared" si="16"/>
        <v>7</v>
      </c>
      <c r="D89" s="59" t="str">
        <f t="shared" si="17"/>
        <v>Amort</v>
      </c>
      <c r="E89" s="15">
        <f t="shared" si="23"/>
        <v>1589063.3292761033</v>
      </c>
      <c r="F89" s="15">
        <f t="shared" si="18"/>
        <v>10618.742794681792</v>
      </c>
      <c r="G89" s="15">
        <f t="shared" si="19"/>
        <v>8607.4263669122265</v>
      </c>
      <c r="H89" s="15">
        <f t="shared" si="20"/>
        <v>2011.3164277695651</v>
      </c>
      <c r="I89" s="15">
        <f t="shared" si="21"/>
        <v>1587052.0128483337</v>
      </c>
      <c r="J89" s="215"/>
    </row>
    <row r="90" spans="2:10" ht="15.75" customHeight="1" x14ac:dyDescent="0.2">
      <c r="B90" s="59">
        <f t="shared" si="22"/>
        <v>78</v>
      </c>
      <c r="C90" s="59">
        <f t="shared" si="16"/>
        <v>7</v>
      </c>
      <c r="D90" s="59" t="str">
        <f t="shared" si="17"/>
        <v>Amort</v>
      </c>
      <c r="E90" s="15">
        <f t="shared" si="23"/>
        <v>1587052.0128483337</v>
      </c>
      <c r="F90" s="15">
        <f t="shared" si="18"/>
        <v>10618.742794681792</v>
      </c>
      <c r="G90" s="15">
        <f t="shared" si="19"/>
        <v>8596.531736261808</v>
      </c>
      <c r="H90" s="15">
        <f t="shared" si="20"/>
        <v>2022.2110584199836</v>
      </c>
      <c r="I90" s="15">
        <f t="shared" si="21"/>
        <v>1585029.8017899138</v>
      </c>
      <c r="J90" s="215"/>
    </row>
    <row r="91" spans="2:10" ht="15.75" customHeight="1" x14ac:dyDescent="0.2">
      <c r="B91" s="59">
        <f t="shared" si="22"/>
        <v>79</v>
      </c>
      <c r="C91" s="59">
        <f t="shared" si="16"/>
        <v>7</v>
      </c>
      <c r="D91" s="59" t="str">
        <f t="shared" si="17"/>
        <v>Amort</v>
      </c>
      <c r="E91" s="15">
        <f t="shared" si="23"/>
        <v>1585029.8017899138</v>
      </c>
      <c r="F91" s="15">
        <f t="shared" si="18"/>
        <v>10618.742794681792</v>
      </c>
      <c r="G91" s="15">
        <f t="shared" si="19"/>
        <v>8585.5780930287001</v>
      </c>
      <c r="H91" s="15">
        <f t="shared" si="20"/>
        <v>2033.1647016530915</v>
      </c>
      <c r="I91" s="15">
        <f t="shared" si="21"/>
        <v>1582996.6370882606</v>
      </c>
      <c r="J91" s="215"/>
    </row>
    <row r="92" spans="2:10" ht="15.75" customHeight="1" x14ac:dyDescent="0.2">
      <c r="B92" s="59">
        <f t="shared" si="22"/>
        <v>80</v>
      </c>
      <c r="C92" s="59">
        <f t="shared" si="16"/>
        <v>7</v>
      </c>
      <c r="D92" s="59" t="str">
        <f t="shared" si="17"/>
        <v>Amort</v>
      </c>
      <c r="E92" s="15">
        <f t="shared" si="23"/>
        <v>1582996.6370882606</v>
      </c>
      <c r="F92" s="15">
        <f t="shared" si="18"/>
        <v>10618.742794681792</v>
      </c>
      <c r="G92" s="15">
        <f t="shared" si="19"/>
        <v>8574.5651175614112</v>
      </c>
      <c r="H92" s="15">
        <f t="shared" si="20"/>
        <v>2044.1776771203804</v>
      </c>
      <c r="I92" s="15">
        <f t="shared" si="21"/>
        <v>1580952.4594111403</v>
      </c>
      <c r="J92" s="215"/>
    </row>
    <row r="93" spans="2:10" ht="15.75" customHeight="1" x14ac:dyDescent="0.2">
      <c r="B93" s="59">
        <f t="shared" si="22"/>
        <v>81</v>
      </c>
      <c r="C93" s="59">
        <f t="shared" si="16"/>
        <v>7</v>
      </c>
      <c r="D93" s="59" t="str">
        <f t="shared" si="17"/>
        <v>Amort</v>
      </c>
      <c r="E93" s="15">
        <f t="shared" si="23"/>
        <v>1580952.4594111403</v>
      </c>
      <c r="F93" s="15">
        <f t="shared" si="18"/>
        <v>10618.742794681792</v>
      </c>
      <c r="G93" s="15">
        <f t="shared" si="19"/>
        <v>8563.4924884770098</v>
      </c>
      <c r="H93" s="15">
        <f t="shared" si="20"/>
        <v>2055.2503062047817</v>
      </c>
      <c r="I93" s="15">
        <f t="shared" si="21"/>
        <v>1578897.2091049354</v>
      </c>
      <c r="J93" s="215"/>
    </row>
    <row r="94" spans="2:10" ht="15.75" customHeight="1" x14ac:dyDescent="0.2">
      <c r="B94" s="59">
        <f t="shared" si="22"/>
        <v>82</v>
      </c>
      <c r="C94" s="59">
        <f t="shared" si="16"/>
        <v>7</v>
      </c>
      <c r="D94" s="59" t="str">
        <f t="shared" si="17"/>
        <v>Amort</v>
      </c>
      <c r="E94" s="15">
        <f t="shared" si="23"/>
        <v>1578897.2091049354</v>
      </c>
      <c r="F94" s="15">
        <f t="shared" si="18"/>
        <v>10618.742794681792</v>
      </c>
      <c r="G94" s="15">
        <f t="shared" si="19"/>
        <v>8552.3598826517336</v>
      </c>
      <c r="H94" s="15">
        <f t="shared" si="20"/>
        <v>2066.3829120300579</v>
      </c>
      <c r="I94" s="15">
        <f t="shared" si="21"/>
        <v>1576830.8261929054</v>
      </c>
      <c r="J94" s="215"/>
    </row>
    <row r="95" spans="2:10" ht="15.75" customHeight="1" x14ac:dyDescent="0.2">
      <c r="B95" s="59">
        <f t="shared" si="22"/>
        <v>83</v>
      </c>
      <c r="C95" s="59">
        <f t="shared" si="16"/>
        <v>7</v>
      </c>
      <c r="D95" s="59" t="str">
        <f t="shared" si="17"/>
        <v>Amort</v>
      </c>
      <c r="E95" s="15">
        <f t="shared" si="23"/>
        <v>1576830.8261929054</v>
      </c>
      <c r="F95" s="15">
        <f t="shared" si="18"/>
        <v>10618.742794681792</v>
      </c>
      <c r="G95" s="15">
        <f t="shared" si="19"/>
        <v>8541.1669752115722</v>
      </c>
      <c r="H95" s="15">
        <f t="shared" si="20"/>
        <v>2077.5758194702194</v>
      </c>
      <c r="I95" s="15">
        <f t="shared" si="21"/>
        <v>1574753.2503734352</v>
      </c>
      <c r="J95" s="215"/>
    </row>
    <row r="96" spans="2:10" ht="15.75" customHeight="1" x14ac:dyDescent="0.2">
      <c r="B96" s="59">
        <f t="shared" si="22"/>
        <v>84</v>
      </c>
      <c r="C96" s="59">
        <f t="shared" si="16"/>
        <v>7</v>
      </c>
      <c r="D96" s="59" t="str">
        <f t="shared" si="17"/>
        <v>Amort</v>
      </c>
      <c r="E96" s="15">
        <f t="shared" si="23"/>
        <v>1574753.2503734352</v>
      </c>
      <c r="F96" s="15">
        <f t="shared" si="18"/>
        <v>10618.742794681792</v>
      </c>
      <c r="G96" s="15">
        <f t="shared" si="19"/>
        <v>8529.9134395227738</v>
      </c>
      <c r="H96" s="15">
        <f t="shared" si="20"/>
        <v>2088.8293551590177</v>
      </c>
      <c r="I96" s="15">
        <f t="shared" si="21"/>
        <v>1572664.4210182761</v>
      </c>
      <c r="J96" s="215"/>
    </row>
    <row r="97" spans="2:10" ht="15.75" customHeight="1" x14ac:dyDescent="0.2">
      <c r="B97" s="60">
        <f t="shared" si="22"/>
        <v>85</v>
      </c>
      <c r="C97" s="60">
        <f t="shared" si="16"/>
        <v>8</v>
      </c>
      <c r="D97" s="60" t="str">
        <f t="shared" si="17"/>
        <v>Amort</v>
      </c>
      <c r="E97" s="28">
        <f t="shared" si="23"/>
        <v>1572664.4210182761</v>
      </c>
      <c r="F97" s="28">
        <f t="shared" si="18"/>
        <v>10618.742794681792</v>
      </c>
      <c r="G97" s="28">
        <f t="shared" si="19"/>
        <v>8518.5989471823286</v>
      </c>
      <c r="H97" s="28">
        <f t="shared" si="20"/>
        <v>2100.1438474994629</v>
      </c>
      <c r="I97" s="28">
        <f t="shared" si="21"/>
        <v>1570564.2771707766</v>
      </c>
      <c r="J97" s="215"/>
    </row>
    <row r="98" spans="2:10" ht="15.75" customHeight="1" x14ac:dyDescent="0.2">
      <c r="B98" s="60">
        <f t="shared" si="22"/>
        <v>86</v>
      </c>
      <c r="C98" s="60">
        <f t="shared" si="16"/>
        <v>8</v>
      </c>
      <c r="D98" s="60" t="str">
        <f t="shared" si="17"/>
        <v>Amort</v>
      </c>
      <c r="E98" s="28">
        <f t="shared" si="23"/>
        <v>1570564.2771707766</v>
      </c>
      <c r="F98" s="28">
        <f t="shared" si="18"/>
        <v>10618.742794681792</v>
      </c>
      <c r="G98" s="28">
        <f t="shared" si="19"/>
        <v>8507.2231680083732</v>
      </c>
      <c r="H98" s="28">
        <f t="shared" si="20"/>
        <v>2111.5196266734183</v>
      </c>
      <c r="I98" s="28">
        <f t="shared" si="21"/>
        <v>1568452.7575441033</v>
      </c>
      <c r="J98" s="215"/>
    </row>
    <row r="99" spans="2:10" ht="15.75" customHeight="1" x14ac:dyDescent="0.2">
      <c r="B99" s="60">
        <f t="shared" si="22"/>
        <v>87</v>
      </c>
      <c r="C99" s="60">
        <f t="shared" si="16"/>
        <v>8</v>
      </c>
      <c r="D99" s="60" t="str">
        <f t="shared" si="17"/>
        <v>Amort</v>
      </c>
      <c r="E99" s="28">
        <f t="shared" si="23"/>
        <v>1568452.7575441033</v>
      </c>
      <c r="F99" s="28">
        <f t="shared" si="18"/>
        <v>10618.742794681792</v>
      </c>
      <c r="G99" s="28">
        <f t="shared" si="19"/>
        <v>8495.7857700305594</v>
      </c>
      <c r="H99" s="28">
        <f t="shared" si="20"/>
        <v>2122.9570246512321</v>
      </c>
      <c r="I99" s="28">
        <f t="shared" si="21"/>
        <v>1566329.800519452</v>
      </c>
      <c r="J99" s="215"/>
    </row>
    <row r="100" spans="2:10" ht="15.75" customHeight="1" x14ac:dyDescent="0.2">
      <c r="B100" s="60">
        <f t="shared" si="22"/>
        <v>88</v>
      </c>
      <c r="C100" s="60">
        <f t="shared" si="16"/>
        <v>8</v>
      </c>
      <c r="D100" s="60" t="str">
        <f t="shared" si="17"/>
        <v>Amort</v>
      </c>
      <c r="E100" s="28">
        <f t="shared" si="23"/>
        <v>1566329.800519452</v>
      </c>
      <c r="F100" s="28">
        <f t="shared" si="18"/>
        <v>10618.742794681792</v>
      </c>
      <c r="G100" s="28">
        <f t="shared" si="19"/>
        <v>8484.2864194803642</v>
      </c>
      <c r="H100" s="28">
        <f t="shared" si="20"/>
        <v>2134.4563752014274</v>
      </c>
      <c r="I100" s="28">
        <f t="shared" si="21"/>
        <v>1564195.3441442505</v>
      </c>
      <c r="J100" s="215"/>
    </row>
    <row r="101" spans="2:10" ht="15.75" customHeight="1" x14ac:dyDescent="0.2">
      <c r="B101" s="60">
        <f t="shared" si="22"/>
        <v>89</v>
      </c>
      <c r="C101" s="60">
        <f t="shared" si="16"/>
        <v>8</v>
      </c>
      <c r="D101" s="60" t="str">
        <f t="shared" si="17"/>
        <v>Amort</v>
      </c>
      <c r="E101" s="28">
        <f t="shared" si="23"/>
        <v>1564195.3441442505</v>
      </c>
      <c r="F101" s="28">
        <f t="shared" si="18"/>
        <v>10618.742794681792</v>
      </c>
      <c r="G101" s="28">
        <f t="shared" si="19"/>
        <v>8472.7247807813565</v>
      </c>
      <c r="H101" s="28">
        <f t="shared" si="20"/>
        <v>2146.0180139004351</v>
      </c>
      <c r="I101" s="28">
        <f t="shared" si="21"/>
        <v>1562049.3261303501</v>
      </c>
      <c r="J101" s="215"/>
    </row>
    <row r="102" spans="2:10" ht="15.75" customHeight="1" x14ac:dyDescent="0.2">
      <c r="B102" s="60">
        <f t="shared" si="22"/>
        <v>90</v>
      </c>
      <c r="C102" s="60">
        <f t="shared" si="16"/>
        <v>8</v>
      </c>
      <c r="D102" s="60" t="str">
        <f t="shared" si="17"/>
        <v>Amort</v>
      </c>
      <c r="E102" s="28">
        <f t="shared" si="23"/>
        <v>1562049.3261303501</v>
      </c>
      <c r="F102" s="28">
        <f t="shared" si="18"/>
        <v>10618.742794681792</v>
      </c>
      <c r="G102" s="28">
        <f t="shared" si="19"/>
        <v>8461.1005165393963</v>
      </c>
      <c r="H102" s="28">
        <f t="shared" si="20"/>
        <v>2157.6422781423953</v>
      </c>
      <c r="I102" s="28">
        <f t="shared" si="21"/>
        <v>1559891.6838522076</v>
      </c>
      <c r="J102" s="215"/>
    </row>
    <row r="103" spans="2:10" ht="15.75" customHeight="1" x14ac:dyDescent="0.2">
      <c r="B103" s="60">
        <f t="shared" si="22"/>
        <v>91</v>
      </c>
      <c r="C103" s="60">
        <f t="shared" si="16"/>
        <v>8</v>
      </c>
      <c r="D103" s="60" t="str">
        <f t="shared" si="17"/>
        <v>Amort</v>
      </c>
      <c r="E103" s="28">
        <f t="shared" si="23"/>
        <v>1559891.6838522076</v>
      </c>
      <c r="F103" s="28">
        <f t="shared" si="18"/>
        <v>10618.742794681792</v>
      </c>
      <c r="G103" s="28">
        <f t="shared" si="19"/>
        <v>8449.4132875327923</v>
      </c>
      <c r="H103" s="28">
        <f t="shared" si="20"/>
        <v>2169.3295071489993</v>
      </c>
      <c r="I103" s="28">
        <f t="shared" si="21"/>
        <v>1557722.3543450586</v>
      </c>
      <c r="J103" s="215"/>
    </row>
    <row r="104" spans="2:10" ht="15.75" customHeight="1" x14ac:dyDescent="0.2">
      <c r="B104" s="60">
        <f t="shared" si="22"/>
        <v>92</v>
      </c>
      <c r="C104" s="60">
        <f t="shared" si="16"/>
        <v>8</v>
      </c>
      <c r="D104" s="60" t="str">
        <f t="shared" si="17"/>
        <v>Amort</v>
      </c>
      <c r="E104" s="28">
        <f t="shared" si="23"/>
        <v>1557722.3543450586</v>
      </c>
      <c r="F104" s="28">
        <f t="shared" si="18"/>
        <v>10618.742794681792</v>
      </c>
      <c r="G104" s="28">
        <f t="shared" si="19"/>
        <v>8437.6627527024011</v>
      </c>
      <c r="H104" s="28">
        <f t="shared" si="20"/>
        <v>2181.0800419793904</v>
      </c>
      <c r="I104" s="28">
        <f t="shared" si="21"/>
        <v>1555541.2743030791</v>
      </c>
      <c r="J104" s="215"/>
    </row>
    <row r="105" spans="2:10" ht="15.75" customHeight="1" x14ac:dyDescent="0.2">
      <c r="B105" s="60">
        <f t="shared" si="22"/>
        <v>93</v>
      </c>
      <c r="C105" s="60">
        <f t="shared" si="16"/>
        <v>8</v>
      </c>
      <c r="D105" s="60" t="str">
        <f t="shared" si="17"/>
        <v>Amort</v>
      </c>
      <c r="E105" s="28">
        <f t="shared" si="23"/>
        <v>1555541.2743030791</v>
      </c>
      <c r="F105" s="28">
        <f t="shared" si="18"/>
        <v>10618.742794681792</v>
      </c>
      <c r="G105" s="28">
        <f t="shared" si="19"/>
        <v>8425.848569141679</v>
      </c>
      <c r="H105" s="28">
        <f t="shared" si="20"/>
        <v>2192.8942255401125</v>
      </c>
      <c r="I105" s="28">
        <f t="shared" si="21"/>
        <v>1553348.380077539</v>
      </c>
      <c r="J105" s="215"/>
    </row>
    <row r="106" spans="2:10" ht="15.75" customHeight="1" x14ac:dyDescent="0.2">
      <c r="B106" s="60">
        <f t="shared" si="22"/>
        <v>94</v>
      </c>
      <c r="C106" s="60">
        <f t="shared" si="16"/>
        <v>8</v>
      </c>
      <c r="D106" s="60" t="str">
        <f t="shared" si="17"/>
        <v>Amort</v>
      </c>
      <c r="E106" s="28">
        <f t="shared" si="23"/>
        <v>1553348.380077539</v>
      </c>
      <c r="F106" s="28">
        <f t="shared" si="18"/>
        <v>10618.742794681792</v>
      </c>
      <c r="G106" s="28">
        <f t="shared" si="19"/>
        <v>8413.9703920866705</v>
      </c>
      <c r="H106" s="28">
        <f t="shared" si="20"/>
        <v>2204.7724025951211</v>
      </c>
      <c r="I106" s="28">
        <f t="shared" si="21"/>
        <v>1551143.607674944</v>
      </c>
      <c r="J106" s="215"/>
    </row>
    <row r="107" spans="2:10" ht="15.75" customHeight="1" x14ac:dyDescent="0.2">
      <c r="B107" s="60">
        <f t="shared" si="22"/>
        <v>95</v>
      </c>
      <c r="C107" s="60">
        <f t="shared" si="16"/>
        <v>8</v>
      </c>
      <c r="D107" s="60" t="str">
        <f t="shared" si="17"/>
        <v>Amort</v>
      </c>
      <c r="E107" s="28">
        <f t="shared" si="23"/>
        <v>1551143.607674944</v>
      </c>
      <c r="F107" s="28">
        <f t="shared" si="18"/>
        <v>10618.742794681792</v>
      </c>
      <c r="G107" s="28">
        <f t="shared" si="19"/>
        <v>8402.0278749059471</v>
      </c>
      <c r="H107" s="28">
        <f t="shared" si="20"/>
        <v>2216.7149197758445</v>
      </c>
      <c r="I107" s="28">
        <f t="shared" si="21"/>
        <v>1548926.892755168</v>
      </c>
      <c r="J107" s="215"/>
    </row>
    <row r="108" spans="2:10" ht="15.75" customHeight="1" x14ac:dyDescent="0.2">
      <c r="B108" s="60">
        <f t="shared" si="22"/>
        <v>96</v>
      </c>
      <c r="C108" s="60">
        <f t="shared" si="16"/>
        <v>8</v>
      </c>
      <c r="D108" s="60" t="str">
        <f t="shared" si="17"/>
        <v>Amort</v>
      </c>
      <c r="E108" s="28">
        <f t="shared" si="23"/>
        <v>1548926.892755168</v>
      </c>
      <c r="F108" s="28">
        <f t="shared" si="18"/>
        <v>10618.742794681792</v>
      </c>
      <c r="G108" s="28">
        <f t="shared" si="19"/>
        <v>8390.0206690904943</v>
      </c>
      <c r="H108" s="28">
        <f t="shared" si="20"/>
        <v>2228.7221255912973</v>
      </c>
      <c r="I108" s="28">
        <f t="shared" si="21"/>
        <v>1546698.1706295768</v>
      </c>
      <c r="J108" s="215"/>
    </row>
    <row r="109" spans="2:10" ht="15.75" customHeight="1" x14ac:dyDescent="0.2">
      <c r="B109" s="59">
        <f t="shared" si="22"/>
        <v>97</v>
      </c>
      <c r="C109" s="59">
        <f t="shared" ref="C109:C132" si="24">CEILING(B109/12,1)</f>
        <v>9</v>
      </c>
      <c r="D109" s="59" t="str">
        <f t="shared" ref="D109:D132" si="25">IF(B109&lt;=$C$7,"IO","Amort")</f>
        <v>Amort</v>
      </c>
      <c r="E109" s="15">
        <f t="shared" si="23"/>
        <v>1546698.1706295768</v>
      </c>
      <c r="F109" s="15">
        <f t="shared" ref="F109:F132" si="26">IF(D109="IO",E109*$C$9,$C$10)</f>
        <v>10618.742794681792</v>
      </c>
      <c r="G109" s="15">
        <f t="shared" ref="G109:G132" si="27">E109*$C$9</f>
        <v>8377.948424243541</v>
      </c>
      <c r="H109" s="15">
        <f t="shared" ref="H109:H132" si="28">F109-G109</f>
        <v>2240.7943704382506</v>
      </c>
      <c r="I109" s="15">
        <f t="shared" ref="I109:I132" si="29">E109-H109</f>
        <v>1544457.3762591386</v>
      </c>
      <c r="J109" s="215"/>
    </row>
    <row r="110" spans="2:10" ht="15.75" customHeight="1" x14ac:dyDescent="0.2">
      <c r="B110" s="59">
        <f t="shared" ref="B110:B132" si="30">B109+1</f>
        <v>98</v>
      </c>
      <c r="C110" s="59">
        <f t="shared" si="24"/>
        <v>9</v>
      </c>
      <c r="D110" s="59" t="str">
        <f t="shared" si="25"/>
        <v>Amort</v>
      </c>
      <c r="E110" s="15">
        <f t="shared" ref="E110:E132" si="31">I109</f>
        <v>1544457.3762591386</v>
      </c>
      <c r="F110" s="15">
        <f t="shared" si="26"/>
        <v>10618.742794681792</v>
      </c>
      <c r="G110" s="15">
        <f t="shared" si="27"/>
        <v>8365.8107880703337</v>
      </c>
      <c r="H110" s="15">
        <f t="shared" si="28"/>
        <v>2252.9320066114578</v>
      </c>
      <c r="I110" s="15">
        <f t="shared" si="29"/>
        <v>1542204.4442525271</v>
      </c>
      <c r="J110" s="215"/>
    </row>
    <row r="111" spans="2:10" ht="15.75" customHeight="1" x14ac:dyDescent="0.2">
      <c r="B111" s="59">
        <f t="shared" si="30"/>
        <v>99</v>
      </c>
      <c r="C111" s="59">
        <f t="shared" si="24"/>
        <v>9</v>
      </c>
      <c r="D111" s="59" t="str">
        <f t="shared" si="25"/>
        <v>Amort</v>
      </c>
      <c r="E111" s="15">
        <f t="shared" si="31"/>
        <v>1542204.4442525271</v>
      </c>
      <c r="F111" s="15">
        <f t="shared" si="26"/>
        <v>10618.742794681792</v>
      </c>
      <c r="G111" s="15">
        <f t="shared" si="27"/>
        <v>8353.6074063678552</v>
      </c>
      <c r="H111" s="15">
        <f t="shared" si="28"/>
        <v>2265.1353883139363</v>
      </c>
      <c r="I111" s="15">
        <f t="shared" si="29"/>
        <v>1539939.3088642131</v>
      </c>
      <c r="J111" s="215"/>
    </row>
    <row r="112" spans="2:10" ht="15.75" customHeight="1" x14ac:dyDescent="0.2">
      <c r="B112" s="59">
        <f t="shared" si="30"/>
        <v>100</v>
      </c>
      <c r="C112" s="59">
        <f t="shared" si="24"/>
        <v>9</v>
      </c>
      <c r="D112" s="59" t="str">
        <f t="shared" si="25"/>
        <v>Amort</v>
      </c>
      <c r="E112" s="15">
        <f t="shared" si="31"/>
        <v>1539939.3088642131</v>
      </c>
      <c r="F112" s="15">
        <f t="shared" si="26"/>
        <v>10618.742794681792</v>
      </c>
      <c r="G112" s="15">
        <f t="shared" si="27"/>
        <v>8341.3379230144874</v>
      </c>
      <c r="H112" s="15">
        <f t="shared" si="28"/>
        <v>2277.4048716673042</v>
      </c>
      <c r="I112" s="15">
        <f t="shared" si="29"/>
        <v>1537661.9039925458</v>
      </c>
      <c r="J112" s="215"/>
    </row>
    <row r="113" spans="2:10" ht="15.75" customHeight="1" x14ac:dyDescent="0.2">
      <c r="B113" s="59">
        <f t="shared" si="30"/>
        <v>101</v>
      </c>
      <c r="C113" s="59">
        <f t="shared" si="24"/>
        <v>9</v>
      </c>
      <c r="D113" s="59" t="str">
        <f t="shared" si="25"/>
        <v>Amort</v>
      </c>
      <c r="E113" s="15">
        <f t="shared" si="31"/>
        <v>1537661.9039925458</v>
      </c>
      <c r="F113" s="15">
        <f t="shared" si="26"/>
        <v>10618.742794681792</v>
      </c>
      <c r="G113" s="15">
        <f t="shared" si="27"/>
        <v>8329.001979959623</v>
      </c>
      <c r="H113" s="15">
        <f t="shared" si="28"/>
        <v>2289.7408147221686</v>
      </c>
      <c r="I113" s="15">
        <f t="shared" si="29"/>
        <v>1535372.1631778236</v>
      </c>
      <c r="J113" s="215"/>
    </row>
    <row r="114" spans="2:10" ht="15.75" customHeight="1" x14ac:dyDescent="0.2">
      <c r="B114" s="59">
        <f t="shared" si="30"/>
        <v>102</v>
      </c>
      <c r="C114" s="59">
        <f t="shared" si="24"/>
        <v>9</v>
      </c>
      <c r="D114" s="59" t="str">
        <f t="shared" si="25"/>
        <v>Amort</v>
      </c>
      <c r="E114" s="15">
        <f t="shared" si="31"/>
        <v>1535372.1631778236</v>
      </c>
      <c r="F114" s="15">
        <f t="shared" si="26"/>
        <v>10618.742794681792</v>
      </c>
      <c r="G114" s="15">
        <f t="shared" si="27"/>
        <v>8316.5992172132119</v>
      </c>
      <c r="H114" s="15">
        <f t="shared" si="28"/>
        <v>2302.1435774685797</v>
      </c>
      <c r="I114" s="15">
        <f t="shared" si="29"/>
        <v>1533070.0196003551</v>
      </c>
      <c r="J114" s="215"/>
    </row>
    <row r="115" spans="2:10" ht="15.75" customHeight="1" x14ac:dyDescent="0.2">
      <c r="B115" s="59">
        <f t="shared" si="30"/>
        <v>103</v>
      </c>
      <c r="C115" s="59">
        <f t="shared" si="24"/>
        <v>9</v>
      </c>
      <c r="D115" s="59" t="str">
        <f t="shared" si="25"/>
        <v>Amort</v>
      </c>
      <c r="E115" s="15">
        <f t="shared" si="31"/>
        <v>1533070.0196003551</v>
      </c>
      <c r="F115" s="15">
        <f t="shared" si="26"/>
        <v>10618.742794681792</v>
      </c>
      <c r="G115" s="15">
        <f t="shared" si="27"/>
        <v>8304.1292728352564</v>
      </c>
      <c r="H115" s="15">
        <f t="shared" si="28"/>
        <v>2314.6135218465351</v>
      </c>
      <c r="I115" s="15">
        <f t="shared" si="29"/>
        <v>1530755.4060785086</v>
      </c>
      <c r="J115" s="215"/>
    </row>
    <row r="116" spans="2:10" ht="15.75" customHeight="1" x14ac:dyDescent="0.2">
      <c r="B116" s="59">
        <f t="shared" si="30"/>
        <v>104</v>
      </c>
      <c r="C116" s="59">
        <f t="shared" si="24"/>
        <v>9</v>
      </c>
      <c r="D116" s="59" t="str">
        <f t="shared" si="25"/>
        <v>Amort</v>
      </c>
      <c r="E116" s="15">
        <f t="shared" si="31"/>
        <v>1530755.4060785086</v>
      </c>
      <c r="F116" s="15">
        <f t="shared" si="26"/>
        <v>10618.742794681792</v>
      </c>
      <c r="G116" s="15">
        <f t="shared" si="27"/>
        <v>8291.5917829252558</v>
      </c>
      <c r="H116" s="15">
        <f t="shared" si="28"/>
        <v>2327.1510117565358</v>
      </c>
      <c r="I116" s="15">
        <f t="shared" si="29"/>
        <v>1528428.255066752</v>
      </c>
      <c r="J116" s="215"/>
    </row>
    <row r="117" spans="2:10" ht="15.75" customHeight="1" x14ac:dyDescent="0.2">
      <c r="B117" s="59">
        <f t="shared" si="30"/>
        <v>105</v>
      </c>
      <c r="C117" s="59">
        <f t="shared" si="24"/>
        <v>9</v>
      </c>
      <c r="D117" s="59" t="str">
        <f t="shared" si="25"/>
        <v>Amort</v>
      </c>
      <c r="E117" s="15">
        <f t="shared" si="31"/>
        <v>1528428.255066752</v>
      </c>
      <c r="F117" s="15">
        <f t="shared" si="26"/>
        <v>10618.742794681792</v>
      </c>
      <c r="G117" s="15">
        <f t="shared" si="27"/>
        <v>8278.986381611574</v>
      </c>
      <c r="H117" s="15">
        <f t="shared" si="28"/>
        <v>2339.7564130702176</v>
      </c>
      <c r="I117" s="15">
        <f t="shared" si="29"/>
        <v>1526088.4986536817</v>
      </c>
      <c r="J117" s="215"/>
    </row>
    <row r="118" spans="2:10" ht="15.75" customHeight="1" x14ac:dyDescent="0.2">
      <c r="B118" s="59">
        <f t="shared" si="30"/>
        <v>106</v>
      </c>
      <c r="C118" s="59">
        <f t="shared" si="24"/>
        <v>9</v>
      </c>
      <c r="D118" s="59" t="str">
        <f t="shared" si="25"/>
        <v>Amort</v>
      </c>
      <c r="E118" s="15">
        <f t="shared" si="31"/>
        <v>1526088.4986536817</v>
      </c>
      <c r="F118" s="15">
        <f t="shared" si="26"/>
        <v>10618.742794681792</v>
      </c>
      <c r="G118" s="15">
        <f t="shared" si="27"/>
        <v>8266.312701040777</v>
      </c>
      <c r="H118" s="15">
        <f t="shared" si="28"/>
        <v>2352.4300936410145</v>
      </c>
      <c r="I118" s="15">
        <f t="shared" si="29"/>
        <v>1523736.0685600408</v>
      </c>
      <c r="J118" s="215"/>
    </row>
    <row r="119" spans="2:10" ht="15.75" customHeight="1" x14ac:dyDescent="0.2">
      <c r="B119" s="59">
        <f t="shared" si="30"/>
        <v>107</v>
      </c>
      <c r="C119" s="59">
        <f t="shared" si="24"/>
        <v>9</v>
      </c>
      <c r="D119" s="59" t="str">
        <f t="shared" si="25"/>
        <v>Amort</v>
      </c>
      <c r="E119" s="15">
        <f t="shared" si="31"/>
        <v>1523736.0685600408</v>
      </c>
      <c r="F119" s="15">
        <f t="shared" si="26"/>
        <v>10618.742794681792</v>
      </c>
      <c r="G119" s="15">
        <f t="shared" si="27"/>
        <v>8253.5703713668881</v>
      </c>
      <c r="H119" s="15">
        <f t="shared" si="28"/>
        <v>2365.1724233149034</v>
      </c>
      <c r="I119" s="15">
        <f t="shared" si="29"/>
        <v>1521370.8961367258</v>
      </c>
      <c r="J119" s="215"/>
    </row>
    <row r="120" spans="2:10" ht="15.75" customHeight="1" x14ac:dyDescent="0.2">
      <c r="B120" s="59">
        <f t="shared" si="30"/>
        <v>108</v>
      </c>
      <c r="C120" s="59">
        <f t="shared" si="24"/>
        <v>9</v>
      </c>
      <c r="D120" s="59" t="str">
        <f t="shared" si="25"/>
        <v>Amort</v>
      </c>
      <c r="E120" s="15">
        <f t="shared" si="31"/>
        <v>1521370.8961367258</v>
      </c>
      <c r="F120" s="15">
        <f t="shared" si="26"/>
        <v>10618.742794681792</v>
      </c>
      <c r="G120" s="15">
        <f t="shared" si="27"/>
        <v>8240.7590207405974</v>
      </c>
      <c r="H120" s="15">
        <f t="shared" si="28"/>
        <v>2377.9837739411942</v>
      </c>
      <c r="I120" s="15">
        <f t="shared" si="29"/>
        <v>1518992.9123627846</v>
      </c>
      <c r="J120" s="215"/>
    </row>
    <row r="121" spans="2:10" ht="15.75" customHeight="1" x14ac:dyDescent="0.2">
      <c r="B121" s="60">
        <f t="shared" si="30"/>
        <v>109</v>
      </c>
      <c r="C121" s="60">
        <f t="shared" si="24"/>
        <v>10</v>
      </c>
      <c r="D121" s="60" t="str">
        <f t="shared" si="25"/>
        <v>Amort</v>
      </c>
      <c r="E121" s="28">
        <f t="shared" si="31"/>
        <v>1518992.9123627846</v>
      </c>
      <c r="F121" s="28">
        <f t="shared" si="26"/>
        <v>10618.742794681792</v>
      </c>
      <c r="G121" s="28">
        <f t="shared" si="27"/>
        <v>8227.8782752984171</v>
      </c>
      <c r="H121" s="28">
        <f t="shared" si="28"/>
        <v>2390.8645193833745</v>
      </c>
      <c r="I121" s="28">
        <f t="shared" si="29"/>
        <v>1516602.0478434013</v>
      </c>
      <c r="J121" s="215"/>
    </row>
    <row r="122" spans="2:10" ht="15.75" customHeight="1" x14ac:dyDescent="0.2">
      <c r="B122" s="60">
        <f t="shared" si="30"/>
        <v>110</v>
      </c>
      <c r="C122" s="60">
        <f t="shared" si="24"/>
        <v>10</v>
      </c>
      <c r="D122" s="60" t="str">
        <f t="shared" si="25"/>
        <v>Amort</v>
      </c>
      <c r="E122" s="28">
        <f t="shared" si="31"/>
        <v>1516602.0478434013</v>
      </c>
      <c r="F122" s="28">
        <f t="shared" si="26"/>
        <v>10618.742794681792</v>
      </c>
      <c r="G122" s="28">
        <f t="shared" si="27"/>
        <v>8214.9277591517566</v>
      </c>
      <c r="H122" s="28">
        <f t="shared" si="28"/>
        <v>2403.8150355300349</v>
      </c>
      <c r="I122" s="28">
        <f t="shared" si="29"/>
        <v>1514198.2328078712</v>
      </c>
      <c r="J122" s="215"/>
    </row>
    <row r="123" spans="2:10" ht="15.75" customHeight="1" x14ac:dyDescent="0.2">
      <c r="B123" s="60">
        <f t="shared" si="30"/>
        <v>111</v>
      </c>
      <c r="C123" s="60">
        <f t="shared" si="24"/>
        <v>10</v>
      </c>
      <c r="D123" s="60" t="str">
        <f t="shared" si="25"/>
        <v>Amort</v>
      </c>
      <c r="E123" s="28">
        <f t="shared" si="31"/>
        <v>1514198.2328078712</v>
      </c>
      <c r="F123" s="28">
        <f t="shared" si="26"/>
        <v>10618.742794681792</v>
      </c>
      <c r="G123" s="28">
        <f t="shared" si="27"/>
        <v>8201.9070943759689</v>
      </c>
      <c r="H123" s="28">
        <f t="shared" si="28"/>
        <v>2416.8357003058227</v>
      </c>
      <c r="I123" s="28">
        <f t="shared" si="29"/>
        <v>1511781.3971075653</v>
      </c>
      <c r="J123" s="215"/>
    </row>
    <row r="124" spans="2:10" ht="15.75" customHeight="1" x14ac:dyDescent="0.2">
      <c r="B124" s="60">
        <f t="shared" si="30"/>
        <v>112</v>
      </c>
      <c r="C124" s="60">
        <f t="shared" si="24"/>
        <v>10</v>
      </c>
      <c r="D124" s="60" t="str">
        <f t="shared" si="25"/>
        <v>Amort</v>
      </c>
      <c r="E124" s="28">
        <f t="shared" si="31"/>
        <v>1511781.3971075653</v>
      </c>
      <c r="F124" s="28">
        <f t="shared" si="26"/>
        <v>10618.742794681792</v>
      </c>
      <c r="G124" s="28">
        <f t="shared" si="27"/>
        <v>8188.8159009993124</v>
      </c>
      <c r="H124" s="28">
        <f t="shared" si="28"/>
        <v>2429.9268936824792</v>
      </c>
      <c r="I124" s="28">
        <f t="shared" si="29"/>
        <v>1509351.4702138829</v>
      </c>
      <c r="J124" s="215"/>
    </row>
    <row r="125" spans="2:10" ht="15.75" customHeight="1" x14ac:dyDescent="0.2">
      <c r="B125" s="60">
        <f t="shared" si="30"/>
        <v>113</v>
      </c>
      <c r="C125" s="60">
        <f t="shared" si="24"/>
        <v>10</v>
      </c>
      <c r="D125" s="60" t="str">
        <f t="shared" si="25"/>
        <v>Amort</v>
      </c>
      <c r="E125" s="28">
        <f t="shared" si="31"/>
        <v>1509351.4702138829</v>
      </c>
      <c r="F125" s="28">
        <f t="shared" si="26"/>
        <v>10618.742794681792</v>
      </c>
      <c r="G125" s="28">
        <f t="shared" si="27"/>
        <v>8175.6537969918654</v>
      </c>
      <c r="H125" s="28">
        <f t="shared" si="28"/>
        <v>2443.0889976899261</v>
      </c>
      <c r="I125" s="28">
        <f t="shared" si="29"/>
        <v>1506908.3812161929</v>
      </c>
      <c r="J125" s="215"/>
    </row>
    <row r="126" spans="2:10" ht="15.75" customHeight="1" x14ac:dyDescent="0.2">
      <c r="B126" s="60">
        <f t="shared" si="30"/>
        <v>114</v>
      </c>
      <c r="C126" s="60">
        <f t="shared" si="24"/>
        <v>10</v>
      </c>
      <c r="D126" s="60" t="str">
        <f t="shared" si="25"/>
        <v>Amort</v>
      </c>
      <c r="E126" s="28">
        <f t="shared" si="31"/>
        <v>1506908.3812161929</v>
      </c>
      <c r="F126" s="28">
        <f t="shared" si="26"/>
        <v>10618.742794681792</v>
      </c>
      <c r="G126" s="28">
        <f t="shared" si="27"/>
        <v>8162.4203982543786</v>
      </c>
      <c r="H126" s="28">
        <f t="shared" si="28"/>
        <v>2456.322396427413</v>
      </c>
      <c r="I126" s="28">
        <f t="shared" si="29"/>
        <v>1504452.0588197655</v>
      </c>
      <c r="J126" s="215"/>
    </row>
    <row r="127" spans="2:10" ht="15.75" customHeight="1" x14ac:dyDescent="0.2">
      <c r="B127" s="60">
        <f t="shared" si="30"/>
        <v>115</v>
      </c>
      <c r="C127" s="60">
        <f t="shared" si="24"/>
        <v>10</v>
      </c>
      <c r="D127" s="60" t="str">
        <f t="shared" si="25"/>
        <v>Amort</v>
      </c>
      <c r="E127" s="28">
        <f t="shared" si="31"/>
        <v>1504452.0588197655</v>
      </c>
      <c r="F127" s="28">
        <f t="shared" si="26"/>
        <v>10618.742794681792</v>
      </c>
      <c r="G127" s="28">
        <f t="shared" si="27"/>
        <v>8149.1153186070633</v>
      </c>
      <c r="H127" s="28">
        <f t="shared" si="28"/>
        <v>2469.6274760747283</v>
      </c>
      <c r="I127" s="28">
        <f t="shared" si="29"/>
        <v>1501982.4313436907</v>
      </c>
      <c r="J127" s="215"/>
    </row>
    <row r="128" spans="2:10" ht="15.75" customHeight="1" x14ac:dyDescent="0.2">
      <c r="B128" s="60">
        <f t="shared" si="30"/>
        <v>116</v>
      </c>
      <c r="C128" s="60">
        <f t="shared" si="24"/>
        <v>10</v>
      </c>
      <c r="D128" s="60" t="str">
        <f t="shared" si="25"/>
        <v>Amort</v>
      </c>
      <c r="E128" s="28">
        <f t="shared" si="31"/>
        <v>1501982.4313436907</v>
      </c>
      <c r="F128" s="28">
        <f t="shared" si="26"/>
        <v>10618.742794681792</v>
      </c>
      <c r="G128" s="28">
        <f t="shared" si="27"/>
        <v>8135.7381697783248</v>
      </c>
      <c r="H128" s="28">
        <f t="shared" si="28"/>
        <v>2483.0046249034667</v>
      </c>
      <c r="I128" s="28">
        <f t="shared" si="29"/>
        <v>1499499.4267187873</v>
      </c>
      <c r="J128" s="215"/>
    </row>
    <row r="129" spans="2:10" ht="15.75" customHeight="1" x14ac:dyDescent="0.2">
      <c r="B129" s="60">
        <f t="shared" si="30"/>
        <v>117</v>
      </c>
      <c r="C129" s="60">
        <f t="shared" si="24"/>
        <v>10</v>
      </c>
      <c r="D129" s="60" t="str">
        <f t="shared" si="25"/>
        <v>Amort</v>
      </c>
      <c r="E129" s="28">
        <f t="shared" si="31"/>
        <v>1499499.4267187873</v>
      </c>
      <c r="F129" s="28">
        <f t="shared" si="26"/>
        <v>10618.742794681792</v>
      </c>
      <c r="G129" s="28">
        <f t="shared" si="27"/>
        <v>8122.2885613934313</v>
      </c>
      <c r="H129" s="28">
        <f t="shared" si="28"/>
        <v>2496.4542332883602</v>
      </c>
      <c r="I129" s="28">
        <f t="shared" si="29"/>
        <v>1497002.972485499</v>
      </c>
      <c r="J129" s="215"/>
    </row>
    <row r="130" spans="2:10" ht="15.75" customHeight="1" x14ac:dyDescent="0.2">
      <c r="B130" s="60">
        <f t="shared" si="30"/>
        <v>118</v>
      </c>
      <c r="C130" s="60">
        <f t="shared" si="24"/>
        <v>10</v>
      </c>
      <c r="D130" s="60" t="str">
        <f t="shared" si="25"/>
        <v>Amort</v>
      </c>
      <c r="E130" s="28">
        <f t="shared" si="31"/>
        <v>1497002.972485499</v>
      </c>
      <c r="F130" s="28">
        <f t="shared" si="26"/>
        <v>10618.742794681792</v>
      </c>
      <c r="G130" s="28">
        <f t="shared" si="27"/>
        <v>8108.7661009631202</v>
      </c>
      <c r="H130" s="28">
        <f t="shared" si="28"/>
        <v>2509.9766937186714</v>
      </c>
      <c r="I130" s="28">
        <f t="shared" si="29"/>
        <v>1494492.9957917803</v>
      </c>
      <c r="J130" s="215"/>
    </row>
    <row r="131" spans="2:10" ht="15.75" customHeight="1" x14ac:dyDescent="0.2">
      <c r="B131" s="60">
        <f t="shared" si="30"/>
        <v>119</v>
      </c>
      <c r="C131" s="60">
        <f t="shared" si="24"/>
        <v>10</v>
      </c>
      <c r="D131" s="60" t="str">
        <f t="shared" si="25"/>
        <v>Amort</v>
      </c>
      <c r="E131" s="28">
        <f t="shared" si="31"/>
        <v>1494492.9957917803</v>
      </c>
      <c r="F131" s="28">
        <f t="shared" si="26"/>
        <v>10618.742794681792</v>
      </c>
      <c r="G131" s="28">
        <f t="shared" si="27"/>
        <v>8095.1703938721439</v>
      </c>
      <c r="H131" s="28">
        <f t="shared" si="28"/>
        <v>2523.5724008096477</v>
      </c>
      <c r="I131" s="28">
        <f t="shared" si="29"/>
        <v>1491969.4233909706</v>
      </c>
      <c r="J131" s="215"/>
    </row>
    <row r="132" spans="2:10" ht="15.75" customHeight="1" x14ac:dyDescent="0.2">
      <c r="B132" s="60">
        <f t="shared" si="30"/>
        <v>120</v>
      </c>
      <c r="C132" s="60">
        <f t="shared" si="24"/>
        <v>10</v>
      </c>
      <c r="D132" s="60" t="str">
        <f t="shared" si="25"/>
        <v>Amort</v>
      </c>
      <c r="E132" s="28">
        <f t="shared" si="31"/>
        <v>1491969.4233909706</v>
      </c>
      <c r="F132" s="28">
        <f t="shared" si="26"/>
        <v>10618.742794681792</v>
      </c>
      <c r="G132" s="28">
        <f t="shared" si="27"/>
        <v>8081.5010433677571</v>
      </c>
      <c r="H132" s="28">
        <f t="shared" si="28"/>
        <v>2537.2417513140344</v>
      </c>
      <c r="I132" s="28">
        <f t="shared" si="29"/>
        <v>1489432.1816396564</v>
      </c>
      <c r="J132" s="215"/>
    </row>
    <row r="133" spans="2:10" ht="15.75" customHeight="1" x14ac:dyDescent="0.2">
      <c r="B133" s="17"/>
      <c r="C133" s="17"/>
      <c r="D133" s="17"/>
      <c r="E133" s="17"/>
      <c r="F133" s="17"/>
      <c r="G133" s="17"/>
      <c r="H133" s="17"/>
      <c r="I133" s="17"/>
      <c r="J133" s="215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7"/>
  <sheetViews>
    <sheetView zoomScaleNormal="100" workbookViewId="0"/>
    <sheetView workbookViewId="1"/>
  </sheetViews>
  <sheetFormatPr baseColWidth="10" defaultColWidth="10.6640625" defaultRowHeight="15.75" customHeight="1" x14ac:dyDescent="0.2"/>
  <cols>
    <col min="1" max="1" width="38.33203125" customWidth="1"/>
    <col min="2" max="2" width="20" customWidth="1"/>
    <col min="3" max="3" width="11.6640625" customWidth="1"/>
    <col min="4" max="4" width="13.33203125" customWidth="1"/>
    <col min="5" max="5" width="15" customWidth="1"/>
    <col min="6" max="8" width="21.6640625" customWidth="1"/>
  </cols>
  <sheetData>
    <row r="1" spans="1:8" ht="27.75" customHeight="1" x14ac:dyDescent="0.25">
      <c r="A1" s="16" t="s">
        <v>522</v>
      </c>
      <c r="B1" s="14"/>
      <c r="C1" s="14"/>
      <c r="D1" s="14"/>
      <c r="E1" s="14"/>
      <c r="F1" s="14"/>
      <c r="G1" s="14"/>
      <c r="H1" s="14"/>
    </row>
    <row r="2" spans="1:8" ht="13.5" customHeight="1" x14ac:dyDescent="0.2">
      <c r="A2" s="18" t="s">
        <v>523</v>
      </c>
      <c r="B2" s="14"/>
      <c r="C2" s="14"/>
      <c r="D2" s="14"/>
      <c r="E2" s="14"/>
      <c r="F2" s="14"/>
      <c r="G2" s="14"/>
      <c r="H2" s="14"/>
    </row>
    <row r="3" spans="1:8" ht="7.5" customHeight="1" x14ac:dyDescent="0.2">
      <c r="A3" s="14"/>
      <c r="B3" s="14"/>
      <c r="C3" s="14"/>
      <c r="D3" s="14"/>
      <c r="E3" s="14"/>
      <c r="F3" s="14"/>
      <c r="G3" s="14"/>
      <c r="H3" s="14"/>
    </row>
    <row r="4" spans="1:8" ht="18" customHeight="1" x14ac:dyDescent="0.2">
      <c r="A4" s="61" t="s">
        <v>524</v>
      </c>
      <c r="B4" s="62"/>
      <c r="C4" s="62"/>
      <c r="D4" s="62"/>
      <c r="E4" s="62"/>
      <c r="F4" s="62"/>
      <c r="G4" s="62"/>
      <c r="H4" s="62"/>
    </row>
    <row r="5" spans="1:8" ht="15.75" customHeight="1" x14ac:dyDescent="0.2">
      <c r="A5" s="14" t="s">
        <v>525</v>
      </c>
      <c r="B5" s="184" t="s">
        <v>2</v>
      </c>
      <c r="C5" s="14"/>
      <c r="D5" s="14"/>
      <c r="E5" s="14"/>
      <c r="F5" s="14"/>
      <c r="G5" s="14"/>
      <c r="H5" s="14"/>
    </row>
    <row r="6" spans="1:8" ht="15.75" customHeight="1" x14ac:dyDescent="0.2">
      <c r="A6" s="14" t="s">
        <v>7</v>
      </c>
      <c r="B6" s="185">
        <v>2400000</v>
      </c>
      <c r="C6" s="14"/>
      <c r="D6" s="14"/>
      <c r="E6" s="14"/>
      <c r="F6" s="14"/>
      <c r="G6" s="14"/>
      <c r="H6" s="14"/>
    </row>
    <row r="7" spans="1:8" ht="15.75" customHeight="1" x14ac:dyDescent="0.2">
      <c r="A7" s="14" t="s">
        <v>9</v>
      </c>
      <c r="B7" s="47">
        <v>0.02</v>
      </c>
      <c r="C7" s="14"/>
      <c r="D7" s="14"/>
      <c r="E7" s="14"/>
      <c r="F7" s="14"/>
      <c r="G7" s="14"/>
      <c r="H7" s="14"/>
    </row>
    <row r="8" spans="1:8" ht="15.75" customHeight="1" x14ac:dyDescent="0.2">
      <c r="A8" s="14" t="s">
        <v>11</v>
      </c>
      <c r="B8" s="15">
        <f>B6*B7</f>
        <v>48000</v>
      </c>
      <c r="C8" s="14"/>
      <c r="D8" s="14"/>
      <c r="E8" s="14"/>
      <c r="F8" s="14"/>
      <c r="G8" s="14"/>
      <c r="H8" s="14"/>
    </row>
    <row r="9" spans="1:8" ht="15.75" customHeight="1" x14ac:dyDescent="0.2">
      <c r="A9" s="14" t="s">
        <v>14</v>
      </c>
      <c r="B9" s="15">
        <f>B6+B8</f>
        <v>2448000</v>
      </c>
      <c r="C9" s="14"/>
      <c r="D9" s="14"/>
      <c r="E9" s="14"/>
      <c r="F9" s="14"/>
      <c r="G9" s="14"/>
      <c r="H9" s="14"/>
    </row>
    <row r="10" spans="1:8" ht="15.75" customHeight="1" x14ac:dyDescent="0.2">
      <c r="A10" s="14"/>
      <c r="B10" s="14"/>
      <c r="C10" s="14"/>
      <c r="D10" s="14"/>
      <c r="E10" s="14"/>
      <c r="F10" s="14"/>
      <c r="G10" s="14"/>
      <c r="H10" s="14"/>
    </row>
    <row r="11" spans="1:8" ht="18" customHeight="1" x14ac:dyDescent="0.2">
      <c r="A11" s="61" t="s">
        <v>526</v>
      </c>
      <c r="B11" s="62"/>
      <c r="C11" s="62"/>
      <c r="D11" s="62"/>
      <c r="E11" s="62"/>
      <c r="F11" s="62"/>
      <c r="G11" s="62"/>
      <c r="H11" s="62"/>
    </row>
    <row r="12" spans="1:8" ht="18" customHeight="1" x14ac:dyDescent="0.2">
      <c r="A12" s="63" t="s">
        <v>17</v>
      </c>
      <c r="B12" s="64" t="s">
        <v>18</v>
      </c>
      <c r="C12" s="64" t="s">
        <v>19</v>
      </c>
      <c r="D12" s="64" t="s">
        <v>527</v>
      </c>
      <c r="E12" s="64" t="s">
        <v>22</v>
      </c>
      <c r="F12" s="64" t="s">
        <v>528</v>
      </c>
      <c r="G12" s="64" t="s">
        <v>529</v>
      </c>
      <c r="H12" s="65" t="s">
        <v>530</v>
      </c>
    </row>
    <row r="13" spans="1:8" ht="15.75" customHeight="1" x14ac:dyDescent="0.2">
      <c r="A13" s="186" t="s">
        <v>25</v>
      </c>
      <c r="B13" s="187">
        <v>0</v>
      </c>
      <c r="C13" s="187">
        <v>1</v>
      </c>
      <c r="D13" s="187">
        <v>7</v>
      </c>
      <c r="E13" s="187">
        <v>419.84</v>
      </c>
      <c r="F13" s="188">
        <v>1172.3599999999999</v>
      </c>
      <c r="G13" s="124">
        <f t="shared" ref="G13:G19" si="0">D13*F13</f>
        <v>8206.5199999999986</v>
      </c>
      <c r="H13" s="125">
        <f t="shared" ref="H13:H19" si="1">G13*12</f>
        <v>98478.239999999991</v>
      </c>
    </row>
    <row r="14" spans="1:8" ht="15.75" customHeight="1" x14ac:dyDescent="0.2">
      <c r="A14" s="189" t="s">
        <v>26</v>
      </c>
      <c r="B14" s="190">
        <v>1</v>
      </c>
      <c r="C14" s="190">
        <v>1</v>
      </c>
      <c r="D14" s="190">
        <v>7</v>
      </c>
      <c r="E14" s="190">
        <v>681.36</v>
      </c>
      <c r="F14" s="191">
        <v>1369.34</v>
      </c>
      <c r="G14" s="192">
        <f t="shared" si="0"/>
        <v>9585.3799999999992</v>
      </c>
      <c r="H14" s="193">
        <f t="shared" si="1"/>
        <v>115024.56</v>
      </c>
    </row>
    <row r="15" spans="1:8" ht="15.75" customHeight="1" x14ac:dyDescent="0.2">
      <c r="A15" s="194" t="s">
        <v>27</v>
      </c>
      <c r="B15" s="195">
        <v>2</v>
      </c>
      <c r="C15" s="195">
        <v>2</v>
      </c>
      <c r="D15" s="195">
        <v>6</v>
      </c>
      <c r="E15" s="195">
        <v>1090.74</v>
      </c>
      <c r="F15" s="196">
        <v>2266.6999999999998</v>
      </c>
      <c r="G15" s="197">
        <f t="shared" si="0"/>
        <v>13600.199999999999</v>
      </c>
      <c r="H15" s="198">
        <f t="shared" si="1"/>
        <v>163202.4</v>
      </c>
    </row>
    <row r="16" spans="1:8" ht="15.75" customHeight="1" x14ac:dyDescent="0.2">
      <c r="A16" s="66"/>
      <c r="B16" s="67"/>
      <c r="C16" s="67"/>
      <c r="D16" s="67"/>
      <c r="E16" s="67"/>
      <c r="F16" s="68"/>
      <c r="G16" s="69">
        <f t="shared" si="0"/>
        <v>0</v>
      </c>
      <c r="H16" s="70">
        <f t="shared" si="1"/>
        <v>0</v>
      </c>
    </row>
    <row r="17" spans="1:8" ht="15.75" customHeight="1" x14ac:dyDescent="0.2">
      <c r="A17" s="71"/>
      <c r="B17" s="72"/>
      <c r="C17" s="72"/>
      <c r="D17" s="72"/>
      <c r="E17" s="72"/>
      <c r="F17" s="73"/>
      <c r="G17" s="74">
        <f t="shared" si="0"/>
        <v>0</v>
      </c>
      <c r="H17" s="75">
        <f t="shared" si="1"/>
        <v>0</v>
      </c>
    </row>
    <row r="18" spans="1:8" ht="15.75" customHeight="1" x14ac:dyDescent="0.2">
      <c r="A18" s="66"/>
      <c r="B18" s="67"/>
      <c r="C18" s="67"/>
      <c r="D18" s="67"/>
      <c r="E18" s="67"/>
      <c r="F18" s="68"/>
      <c r="G18" s="69">
        <f t="shared" si="0"/>
        <v>0</v>
      </c>
      <c r="H18" s="70">
        <f t="shared" si="1"/>
        <v>0</v>
      </c>
    </row>
    <row r="19" spans="1:8" ht="15.75" customHeight="1" x14ac:dyDescent="0.2">
      <c r="A19" s="71"/>
      <c r="B19" s="72"/>
      <c r="C19" s="72"/>
      <c r="D19" s="72"/>
      <c r="E19" s="72"/>
      <c r="F19" s="73"/>
      <c r="G19" s="74">
        <f t="shared" si="0"/>
        <v>0</v>
      </c>
      <c r="H19" s="75">
        <f t="shared" si="1"/>
        <v>0</v>
      </c>
    </row>
    <row r="20" spans="1:8" ht="16.5" customHeight="1" x14ac:dyDescent="0.2">
      <c r="A20" s="76" t="s">
        <v>531</v>
      </c>
      <c r="B20" s="77"/>
      <c r="C20" s="77"/>
      <c r="D20" s="77">
        <f>SUM(D13:D19)</f>
        <v>20</v>
      </c>
      <c r="E20" s="77">
        <f>SUMPRODUCT(D13:D19,E13:E19)/SUM(D13:D19)</f>
        <v>712.64200000000005</v>
      </c>
      <c r="F20" s="78">
        <f>SUMPRODUCT(D13:D19,F13:F19)/SUM(D13:D19)</f>
        <v>1569.605</v>
      </c>
      <c r="G20" s="78">
        <f>SUM(G13:G19)</f>
        <v>31392.1</v>
      </c>
      <c r="H20" s="79">
        <f>SUM(H13:H19)</f>
        <v>376705.19999999995</v>
      </c>
    </row>
    <row r="21" spans="1:8" ht="6" customHeight="1" x14ac:dyDescent="0.2">
      <c r="A21" s="14"/>
      <c r="B21" s="14"/>
      <c r="C21" s="14"/>
      <c r="D21" s="14"/>
      <c r="E21" s="14"/>
      <c r="F21" s="14"/>
      <c r="G21" s="14"/>
      <c r="H21" s="14"/>
    </row>
    <row r="22" spans="1:8" ht="15.75" customHeight="1" x14ac:dyDescent="0.2">
      <c r="A22" s="80" t="s">
        <v>532</v>
      </c>
      <c r="B22" s="81">
        <f>D20</f>
        <v>20</v>
      </c>
      <c r="C22" s="82"/>
      <c r="D22" s="82"/>
      <c r="E22" s="82"/>
      <c r="F22" s="82"/>
      <c r="G22" s="82"/>
      <c r="H22" s="82"/>
    </row>
    <row r="23" spans="1:8" ht="15.75" customHeight="1" x14ac:dyDescent="0.2">
      <c r="A23" s="83" t="s">
        <v>29</v>
      </c>
      <c r="B23" s="31">
        <f>H20</f>
        <v>376705.19999999995</v>
      </c>
      <c r="C23" s="30"/>
      <c r="D23" s="30"/>
      <c r="E23" s="30"/>
      <c r="F23" s="30"/>
      <c r="G23" s="30"/>
      <c r="H23" s="30"/>
    </row>
    <row r="24" spans="1:8" ht="7.5" customHeight="1" x14ac:dyDescent="0.2">
      <c r="A24" s="14"/>
      <c r="B24" s="14"/>
      <c r="C24" s="14"/>
      <c r="D24" s="14"/>
      <c r="E24" s="14"/>
      <c r="F24" s="14"/>
      <c r="G24" s="14"/>
      <c r="H24" s="14"/>
    </row>
    <row r="25" spans="1:8" ht="18" customHeight="1" x14ac:dyDescent="0.2">
      <c r="A25" s="61" t="s">
        <v>533</v>
      </c>
      <c r="B25" s="62"/>
      <c r="C25" s="62"/>
      <c r="D25" s="62"/>
      <c r="E25" s="62"/>
      <c r="F25" s="62"/>
      <c r="G25" s="62"/>
      <c r="H25" s="62"/>
    </row>
    <row r="26" spans="1:8" ht="15.75" customHeight="1" x14ac:dyDescent="0.2">
      <c r="A26" s="84" t="s">
        <v>534</v>
      </c>
      <c r="B26" s="199">
        <v>12500</v>
      </c>
      <c r="C26" s="85"/>
      <c r="D26" s="85"/>
      <c r="E26" s="85"/>
      <c r="F26" s="85"/>
      <c r="G26" s="85"/>
      <c r="H26" s="85"/>
    </row>
    <row r="27" spans="1:8" ht="15.75" customHeight="1" x14ac:dyDescent="0.2">
      <c r="A27" s="86" t="s">
        <v>535</v>
      </c>
      <c r="B27" s="87">
        <f>B26*B22</f>
        <v>250000</v>
      </c>
      <c r="C27" s="88"/>
      <c r="D27" s="88"/>
      <c r="E27" s="88"/>
      <c r="F27" s="88"/>
      <c r="G27" s="88"/>
      <c r="H27" s="88"/>
    </row>
    <row r="28" spans="1:8" ht="7.5" customHeight="1" x14ac:dyDescent="0.2">
      <c r="A28" s="14"/>
      <c r="B28" s="14"/>
      <c r="C28" s="14"/>
      <c r="D28" s="14"/>
      <c r="E28" s="14"/>
      <c r="F28" s="14"/>
      <c r="G28" s="14"/>
      <c r="H28" s="14"/>
    </row>
    <row r="29" spans="1:8" ht="18" customHeight="1" x14ac:dyDescent="0.2">
      <c r="A29" s="61" t="s">
        <v>536</v>
      </c>
      <c r="B29" s="62"/>
      <c r="C29" s="62"/>
      <c r="D29" s="62"/>
      <c r="E29" s="62"/>
      <c r="F29" s="62"/>
      <c r="G29" s="62"/>
      <c r="H29" s="62"/>
    </row>
    <row r="30" spans="1:8" ht="15.75" customHeight="1" x14ac:dyDescent="0.2">
      <c r="A30" s="84" t="s">
        <v>31</v>
      </c>
      <c r="B30" s="89">
        <v>7.0000000000000007E-2</v>
      </c>
      <c r="C30" s="85"/>
      <c r="D30" s="85"/>
      <c r="E30" s="85"/>
      <c r="F30" s="85"/>
      <c r="G30" s="85"/>
      <c r="H30" s="85"/>
    </row>
    <row r="31" spans="1:8" ht="15.75" customHeight="1" x14ac:dyDescent="0.2">
      <c r="A31" s="90" t="s">
        <v>32</v>
      </c>
      <c r="B31" s="91">
        <v>75</v>
      </c>
      <c r="C31" s="92"/>
      <c r="D31" s="92"/>
      <c r="E31" s="92"/>
      <c r="F31" s="92"/>
      <c r="G31" s="92"/>
      <c r="H31" s="92"/>
    </row>
    <row r="32" spans="1:8" ht="7.5" customHeight="1" x14ac:dyDescent="0.2">
      <c r="A32" s="14"/>
      <c r="B32" s="14"/>
      <c r="C32" s="14"/>
      <c r="D32" s="14"/>
      <c r="E32" s="14"/>
      <c r="F32" s="14"/>
      <c r="G32" s="14"/>
      <c r="H32" s="14"/>
    </row>
    <row r="33" spans="1:8" ht="18" customHeight="1" x14ac:dyDescent="0.2">
      <c r="A33" s="61" t="s">
        <v>91</v>
      </c>
      <c r="B33" s="62"/>
      <c r="C33" s="62"/>
      <c r="D33" s="62"/>
      <c r="E33" s="62"/>
      <c r="F33" s="62"/>
      <c r="G33" s="62"/>
      <c r="H33" s="62"/>
    </row>
    <row r="34" spans="1:8" ht="15.75" customHeight="1" x14ac:dyDescent="0.2">
      <c r="A34" s="84" t="s">
        <v>537</v>
      </c>
      <c r="B34" s="93">
        <v>2400</v>
      </c>
      <c r="C34" s="85"/>
      <c r="D34" s="85"/>
      <c r="E34" s="85"/>
      <c r="F34" s="85"/>
      <c r="G34" s="85"/>
      <c r="H34" s="85"/>
    </row>
    <row r="35" spans="1:8" ht="15.75" customHeight="1" x14ac:dyDescent="0.2">
      <c r="A35" s="94" t="s">
        <v>538</v>
      </c>
      <c r="B35" s="95">
        <v>900</v>
      </c>
      <c r="C35" s="96"/>
      <c r="D35" s="96"/>
      <c r="E35" s="96"/>
      <c r="F35" s="96"/>
      <c r="G35" s="96"/>
      <c r="H35" s="96"/>
    </row>
    <row r="36" spans="1:8" ht="15.75" customHeight="1" x14ac:dyDescent="0.2">
      <c r="A36" s="97" t="s">
        <v>539</v>
      </c>
      <c r="B36" s="98">
        <v>0.05</v>
      </c>
      <c r="C36" s="99"/>
      <c r="D36" s="99"/>
      <c r="E36" s="99"/>
      <c r="F36" s="99"/>
      <c r="G36" s="99"/>
      <c r="H36" s="99"/>
    </row>
    <row r="37" spans="1:8" ht="15.75" customHeight="1" x14ac:dyDescent="0.2">
      <c r="A37" s="94" t="s">
        <v>540</v>
      </c>
      <c r="B37" s="95">
        <v>1200</v>
      </c>
      <c r="C37" s="96"/>
      <c r="D37" s="96"/>
      <c r="E37" s="96"/>
      <c r="F37" s="96"/>
      <c r="G37" s="96"/>
      <c r="H37" s="96"/>
    </row>
    <row r="38" spans="1:8" ht="15.75" customHeight="1" x14ac:dyDescent="0.2">
      <c r="A38" s="97" t="s">
        <v>541</v>
      </c>
      <c r="B38" s="100">
        <v>300</v>
      </c>
      <c r="C38" s="99"/>
      <c r="D38" s="99"/>
      <c r="E38" s="99"/>
      <c r="F38" s="99"/>
      <c r="G38" s="99"/>
      <c r="H38" s="99"/>
    </row>
    <row r="39" spans="1:8" ht="15.75" customHeight="1" x14ac:dyDescent="0.2">
      <c r="A39" s="90" t="s">
        <v>35</v>
      </c>
      <c r="B39" s="101">
        <v>0.03</v>
      </c>
      <c r="C39" s="92"/>
      <c r="D39" s="92"/>
      <c r="E39" s="92"/>
      <c r="F39" s="92"/>
      <c r="G39" s="92"/>
      <c r="H39" s="92"/>
    </row>
    <row r="40" spans="1:8" ht="7.5" customHeight="1" x14ac:dyDescent="0.2">
      <c r="A40" s="14"/>
      <c r="B40" s="14"/>
      <c r="C40" s="14"/>
      <c r="D40" s="14"/>
      <c r="E40" s="14"/>
      <c r="F40" s="14"/>
      <c r="G40" s="14"/>
      <c r="H40" s="14"/>
    </row>
    <row r="41" spans="1:8" ht="18" customHeight="1" x14ac:dyDescent="0.2">
      <c r="A41" s="61" t="s">
        <v>542</v>
      </c>
      <c r="B41" s="62"/>
      <c r="C41" s="62"/>
      <c r="D41" s="62"/>
      <c r="E41" s="62"/>
      <c r="F41" s="62"/>
      <c r="G41" s="62"/>
      <c r="H41" s="62"/>
    </row>
    <row r="42" spans="1:8" ht="15.75" customHeight="1" x14ac:dyDescent="0.2">
      <c r="A42" s="84" t="s">
        <v>37</v>
      </c>
      <c r="B42" s="102" t="s">
        <v>38</v>
      </c>
      <c r="C42" s="85"/>
      <c r="D42" s="85"/>
      <c r="E42" s="85"/>
      <c r="F42" s="85"/>
      <c r="G42" s="85"/>
      <c r="H42" s="85"/>
    </row>
    <row r="43" spans="1:8" ht="15.75" customHeight="1" x14ac:dyDescent="0.2">
      <c r="A43" s="94" t="s">
        <v>39</v>
      </c>
      <c r="B43" s="103">
        <v>0.7</v>
      </c>
      <c r="C43" s="96"/>
      <c r="D43" s="96"/>
      <c r="E43" s="96"/>
      <c r="F43" s="96"/>
      <c r="G43" s="96"/>
      <c r="H43" s="96"/>
    </row>
    <row r="44" spans="1:8" ht="15.75" customHeight="1" x14ac:dyDescent="0.2">
      <c r="A44" s="104" t="s">
        <v>40</v>
      </c>
      <c r="B44" s="105">
        <f>B6*B43</f>
        <v>1680000</v>
      </c>
      <c r="C44" s="106"/>
      <c r="D44" s="106"/>
      <c r="E44" s="106"/>
      <c r="F44" s="106"/>
      <c r="G44" s="106"/>
      <c r="H44" s="106"/>
    </row>
    <row r="45" spans="1:8" ht="15.75" customHeight="1" x14ac:dyDescent="0.2">
      <c r="A45" s="94" t="s">
        <v>41</v>
      </c>
      <c r="B45" s="107">
        <v>6.5000000000000002E-2</v>
      </c>
      <c r="C45" s="96"/>
      <c r="D45" s="96"/>
      <c r="E45" s="96"/>
      <c r="F45" s="96"/>
      <c r="G45" s="96"/>
      <c r="H45" s="96"/>
    </row>
    <row r="46" spans="1:8" ht="15.75" customHeight="1" x14ac:dyDescent="0.2">
      <c r="A46" s="97" t="s">
        <v>42</v>
      </c>
      <c r="B46" s="108">
        <v>24</v>
      </c>
      <c r="C46" s="99"/>
      <c r="D46" s="99"/>
      <c r="E46" s="99"/>
      <c r="F46" s="99"/>
      <c r="G46" s="99"/>
      <c r="H46" s="99"/>
    </row>
    <row r="47" spans="1:8" ht="15.75" customHeight="1" x14ac:dyDescent="0.2">
      <c r="A47" s="94" t="s">
        <v>43</v>
      </c>
      <c r="B47" s="109">
        <v>30</v>
      </c>
      <c r="C47" s="96"/>
      <c r="D47" s="96"/>
      <c r="E47" s="96"/>
      <c r="F47" s="96"/>
      <c r="G47" s="96"/>
      <c r="H47" s="96"/>
    </row>
    <row r="48" spans="1:8" ht="15.75" customHeight="1" x14ac:dyDescent="0.2">
      <c r="A48" s="97" t="s">
        <v>44</v>
      </c>
      <c r="B48" s="108">
        <v>10</v>
      </c>
      <c r="C48" s="99"/>
      <c r="D48" s="99"/>
      <c r="E48" s="99"/>
      <c r="F48" s="99"/>
      <c r="G48" s="99"/>
      <c r="H48" s="99"/>
    </row>
    <row r="49" spans="1:8" ht="15.75" customHeight="1" x14ac:dyDescent="0.2">
      <c r="A49" s="94" t="s">
        <v>45</v>
      </c>
      <c r="B49" s="103">
        <v>0.01</v>
      </c>
      <c r="C49" s="96"/>
      <c r="D49" s="96"/>
      <c r="E49" s="96"/>
      <c r="F49" s="96"/>
      <c r="G49" s="96"/>
      <c r="H49" s="96"/>
    </row>
    <row r="50" spans="1:8" ht="15.75" customHeight="1" x14ac:dyDescent="0.2">
      <c r="A50" s="110" t="s">
        <v>46</v>
      </c>
      <c r="B50" s="111">
        <f>B44*B49</f>
        <v>16800</v>
      </c>
      <c r="C50" s="112"/>
      <c r="D50" s="112"/>
      <c r="E50" s="112"/>
      <c r="F50" s="112"/>
      <c r="G50" s="112"/>
      <c r="H50" s="112"/>
    </row>
    <row r="51" spans="1:8" ht="7.5" customHeight="1" x14ac:dyDescent="0.2">
      <c r="A51" s="14"/>
      <c r="B51" s="14"/>
      <c r="C51" s="14"/>
      <c r="D51" s="14"/>
      <c r="E51" s="14"/>
      <c r="F51" s="14"/>
      <c r="G51" s="14"/>
      <c r="H51" s="14"/>
    </row>
    <row r="52" spans="1:8" ht="18" customHeight="1" x14ac:dyDescent="0.2">
      <c r="A52" s="61" t="s">
        <v>543</v>
      </c>
      <c r="B52" s="62"/>
      <c r="C52" s="62"/>
      <c r="D52" s="62"/>
      <c r="E52" s="62"/>
      <c r="F52" s="62"/>
      <c r="G52" s="62"/>
      <c r="H52" s="62"/>
    </row>
    <row r="53" spans="1:8" ht="15.75" customHeight="1" x14ac:dyDescent="0.2">
      <c r="A53" s="84" t="s">
        <v>48</v>
      </c>
      <c r="B53" s="113">
        <v>5</v>
      </c>
      <c r="C53" s="85"/>
      <c r="D53" s="85"/>
      <c r="E53" s="85"/>
      <c r="F53" s="85"/>
      <c r="G53" s="85"/>
      <c r="H53" s="85"/>
    </row>
    <row r="54" spans="1:8" ht="15.75" customHeight="1" x14ac:dyDescent="0.2">
      <c r="A54" s="94" t="s">
        <v>49</v>
      </c>
      <c r="B54" s="107">
        <v>0.06</v>
      </c>
      <c r="C54" s="96"/>
      <c r="D54" s="96"/>
      <c r="E54" s="96"/>
      <c r="F54" s="96"/>
      <c r="G54" s="96"/>
      <c r="H54" s="96"/>
    </row>
    <row r="55" spans="1:8" ht="15.75" customHeight="1" x14ac:dyDescent="0.2">
      <c r="A55" s="110" t="s">
        <v>50</v>
      </c>
      <c r="B55" s="114">
        <v>0.02</v>
      </c>
      <c r="C55" s="112"/>
      <c r="D55" s="112"/>
      <c r="E55" s="112"/>
      <c r="F55" s="112"/>
      <c r="G55" s="112"/>
      <c r="H55" s="112"/>
    </row>
    <row r="56" spans="1:8" ht="7.5" customHeight="1" x14ac:dyDescent="0.2">
      <c r="A56" s="14"/>
      <c r="B56" s="14"/>
      <c r="C56" s="14"/>
      <c r="D56" s="14"/>
      <c r="E56" s="14"/>
      <c r="F56" s="14"/>
      <c r="G56" s="14"/>
      <c r="H56" s="14"/>
    </row>
    <row r="57" spans="1:8" ht="18" customHeight="1" x14ac:dyDescent="0.2">
      <c r="A57" s="61" t="s">
        <v>544</v>
      </c>
      <c r="B57" s="62"/>
      <c r="C57" s="62"/>
      <c r="D57" s="62"/>
      <c r="E57" s="62"/>
      <c r="F57" s="62"/>
      <c r="G57" s="62"/>
      <c r="H57" s="62"/>
    </row>
    <row r="58" spans="1:8" ht="15.75" customHeight="1" x14ac:dyDescent="0.2">
      <c r="A58" s="84" t="s">
        <v>52</v>
      </c>
      <c r="B58" s="89">
        <v>0.1</v>
      </c>
      <c r="C58" s="85"/>
      <c r="D58" s="85"/>
      <c r="E58" s="85"/>
      <c r="F58" s="85"/>
      <c r="G58" s="85"/>
      <c r="H58" s="85"/>
    </row>
    <row r="59" spans="1:8" ht="15.75" customHeight="1" x14ac:dyDescent="0.2">
      <c r="A59" s="94" t="s">
        <v>545</v>
      </c>
      <c r="B59" s="103">
        <v>0.08</v>
      </c>
      <c r="C59" s="96"/>
      <c r="D59" s="96"/>
      <c r="E59" s="96"/>
      <c r="F59" s="96"/>
      <c r="G59" s="96"/>
      <c r="H59" s="96"/>
    </row>
    <row r="60" spans="1:8" ht="15.75" customHeight="1" x14ac:dyDescent="0.2">
      <c r="A60" s="110" t="s">
        <v>54</v>
      </c>
      <c r="B60" s="114">
        <v>0.2</v>
      </c>
      <c r="C60" s="112"/>
      <c r="D60" s="112"/>
      <c r="E60" s="112"/>
      <c r="F60" s="112"/>
      <c r="G60" s="112"/>
      <c r="H60" s="112"/>
    </row>
    <row r="61" spans="1:8" ht="7.5" customHeight="1" x14ac:dyDescent="0.2">
      <c r="A61" s="14"/>
      <c r="B61" s="14"/>
      <c r="C61" s="14"/>
      <c r="D61" s="14"/>
      <c r="E61" s="14"/>
      <c r="F61" s="14"/>
      <c r="G61" s="14"/>
      <c r="H61" s="14"/>
    </row>
    <row r="62" spans="1:8" ht="18" customHeight="1" x14ac:dyDescent="0.2">
      <c r="A62" s="61" t="s">
        <v>546</v>
      </c>
      <c r="B62" s="62"/>
      <c r="C62" s="62"/>
      <c r="D62" s="62"/>
      <c r="E62" s="62"/>
      <c r="F62" s="62"/>
      <c r="G62" s="62"/>
      <c r="H62" s="62"/>
    </row>
    <row r="63" spans="1:8" ht="15.75" customHeight="1" x14ac:dyDescent="0.2">
      <c r="A63" s="84" t="s">
        <v>547</v>
      </c>
      <c r="B63" s="89">
        <v>0.03</v>
      </c>
      <c r="C63" s="85"/>
      <c r="D63" s="85"/>
      <c r="E63" s="85"/>
      <c r="F63" s="85"/>
      <c r="G63" s="85"/>
      <c r="H63" s="85"/>
    </row>
    <row r="64" spans="1:8" ht="15.75" customHeight="1" x14ac:dyDescent="0.2">
      <c r="A64" s="94" t="s">
        <v>548</v>
      </c>
      <c r="B64" s="103">
        <v>0.03</v>
      </c>
      <c r="C64" s="96"/>
      <c r="D64" s="96"/>
      <c r="E64" s="96"/>
      <c r="F64" s="96"/>
      <c r="G64" s="96"/>
      <c r="H64" s="96"/>
    </row>
    <row r="65" spans="1:8" ht="15.75" customHeight="1" x14ac:dyDescent="0.2">
      <c r="A65" s="97" t="s">
        <v>549</v>
      </c>
      <c r="B65" s="98">
        <v>2.5000000000000001E-2</v>
      </c>
      <c r="C65" s="99"/>
      <c r="D65" s="99"/>
      <c r="E65" s="99"/>
      <c r="F65" s="99"/>
      <c r="G65" s="99"/>
      <c r="H65" s="99"/>
    </row>
    <row r="66" spans="1:8" ht="15.75" customHeight="1" x14ac:dyDescent="0.2">
      <c r="A66" s="94" t="s">
        <v>550</v>
      </c>
      <c r="B66" s="103">
        <v>2.5000000000000001E-2</v>
      </c>
      <c r="C66" s="96"/>
      <c r="D66" s="96"/>
      <c r="E66" s="96"/>
      <c r="F66" s="96"/>
      <c r="G66" s="96"/>
      <c r="H66" s="96"/>
    </row>
    <row r="67" spans="1:8" ht="15.75" customHeight="1" x14ac:dyDescent="0.2">
      <c r="A67" s="97" t="s">
        <v>551</v>
      </c>
      <c r="B67" s="98">
        <v>2.5000000000000001E-2</v>
      </c>
      <c r="C67" s="99"/>
      <c r="D67" s="99"/>
      <c r="E67" s="99"/>
      <c r="F67" s="99"/>
      <c r="G67" s="99"/>
      <c r="H67" s="99"/>
    </row>
    <row r="68" spans="1:8" ht="15.75" customHeight="1" x14ac:dyDescent="0.2">
      <c r="A68" s="94" t="s">
        <v>552</v>
      </c>
      <c r="B68" s="103">
        <v>0.02</v>
      </c>
      <c r="C68" s="96"/>
      <c r="D68" s="96"/>
      <c r="E68" s="96"/>
      <c r="F68" s="96"/>
      <c r="G68" s="96"/>
      <c r="H68" s="96"/>
    </row>
    <row r="69" spans="1:8" ht="15.75" customHeight="1" x14ac:dyDescent="0.2">
      <c r="A69" s="97" t="s">
        <v>553</v>
      </c>
      <c r="B69" s="98">
        <v>0.02</v>
      </c>
      <c r="C69" s="99"/>
      <c r="D69" s="99"/>
      <c r="E69" s="99"/>
      <c r="F69" s="99"/>
      <c r="G69" s="99"/>
      <c r="H69" s="99"/>
    </row>
    <row r="70" spans="1:8" ht="15.75" customHeight="1" x14ac:dyDescent="0.2">
      <c r="A70" s="94" t="s">
        <v>554</v>
      </c>
      <c r="B70" s="103">
        <v>0.02</v>
      </c>
      <c r="C70" s="96"/>
      <c r="D70" s="96"/>
      <c r="E70" s="96"/>
      <c r="F70" s="96"/>
      <c r="G70" s="96"/>
      <c r="H70" s="96"/>
    </row>
    <row r="71" spans="1:8" ht="15.75" customHeight="1" x14ac:dyDescent="0.2">
      <c r="A71" s="97" t="s">
        <v>555</v>
      </c>
      <c r="B71" s="98">
        <v>0.02</v>
      </c>
      <c r="C71" s="99"/>
      <c r="D71" s="99"/>
      <c r="E71" s="99"/>
      <c r="F71" s="99"/>
      <c r="G71" s="99"/>
      <c r="H71" s="99"/>
    </row>
    <row r="72" spans="1:8" ht="15.75" customHeight="1" x14ac:dyDescent="0.2">
      <c r="A72" s="90" t="s">
        <v>556</v>
      </c>
      <c r="B72" s="101">
        <v>0.02</v>
      </c>
      <c r="C72" s="92"/>
      <c r="D72" s="92"/>
      <c r="E72" s="92"/>
      <c r="F72" s="92"/>
      <c r="G72" s="92"/>
      <c r="H72" s="92"/>
    </row>
    <row r="73" spans="1:8" ht="7.5" customHeight="1" x14ac:dyDescent="0.2">
      <c r="A73" s="14"/>
      <c r="B73" s="14"/>
      <c r="C73" s="14"/>
      <c r="D73" s="14"/>
      <c r="E73" s="14"/>
      <c r="F73" s="14"/>
      <c r="G73" s="14"/>
      <c r="H73" s="14"/>
    </row>
    <row r="74" spans="1:8" ht="18" customHeight="1" x14ac:dyDescent="0.2">
      <c r="A74" s="61" t="s">
        <v>557</v>
      </c>
      <c r="B74" s="62"/>
      <c r="C74" s="62"/>
      <c r="D74" s="62"/>
      <c r="E74" s="62"/>
      <c r="F74" s="62"/>
      <c r="G74" s="62"/>
      <c r="H74" s="62"/>
    </row>
    <row r="75" spans="1:8" ht="15.75" customHeight="1" x14ac:dyDescent="0.2">
      <c r="A75" s="115" t="s">
        <v>68</v>
      </c>
      <c r="B75" s="116">
        <f>B9+B27-B44+B50</f>
        <v>1034800</v>
      </c>
      <c r="C75" s="117"/>
      <c r="D75" s="117"/>
      <c r="E75" s="117"/>
      <c r="F75" s="117"/>
      <c r="G75" s="117"/>
      <c r="H75" s="117"/>
    </row>
    <row r="76" spans="1:8" ht="15.75" customHeight="1" x14ac:dyDescent="0.2">
      <c r="A76" s="118" t="s">
        <v>69</v>
      </c>
      <c r="B76" s="119">
        <f>B75*B58</f>
        <v>103480</v>
      </c>
      <c r="C76" s="120"/>
      <c r="D76" s="120"/>
      <c r="E76" s="120"/>
      <c r="F76" s="120"/>
      <c r="G76" s="120"/>
      <c r="H76" s="120"/>
    </row>
    <row r="77" spans="1:8" ht="15.75" customHeight="1" x14ac:dyDescent="0.2">
      <c r="A77" s="121" t="s">
        <v>70</v>
      </c>
      <c r="B77" s="122">
        <f>B75-B76</f>
        <v>931320</v>
      </c>
      <c r="C77" s="123"/>
      <c r="D77" s="123"/>
      <c r="E77" s="123"/>
      <c r="F77" s="123"/>
      <c r="G77" s="123"/>
      <c r="H77" s="12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Normal="100" workbookViewId="0"/>
    <sheetView workbookViewId="1"/>
  </sheetViews>
  <sheetFormatPr baseColWidth="10" defaultColWidth="10.6640625" defaultRowHeight="15.75" customHeight="1" x14ac:dyDescent="0.2"/>
  <cols>
    <col min="1" max="1" width="38.33203125" customWidth="1"/>
  </cols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Pro Forma</vt:lpstr>
      <vt:lpstr>Returns</vt:lpstr>
      <vt:lpstr>Raw Comps</vt:lpstr>
      <vt:lpstr>Debt Schedule</vt:lpstr>
      <vt:lpstr>Inputs</vt:lpstr>
      <vt:lpstr>ZZZOLD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niko moutop</cp:lastModifiedBy>
  <cp:revision>0</cp:revision>
  <dcterms:created xsi:type="dcterms:W3CDTF">2018-06-07T17:34:22Z</dcterms:created>
  <dcterms:modified xsi:type="dcterms:W3CDTF">2026-03-09T00:05:09Z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Application">
    <vt:lpwstr>Microsoft Azure Information Protection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Extended_MSFT_Method">
    <vt:lpwstr>Automatic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Owner">
    <vt:lpwstr>t-dahop@microsoft.com</vt:lpwstr>
  </property>
  <property fmtid="{D5CDD505-2E9C-101B-9397-08002B2CF9AE}" pid="8" name="MSIP_Label_f42aa342-8706-4288-bd11-ebb85995028c_SetDate">
    <vt:lpwstr>2018-06-18T14:22:57.3833839Z</vt:lpwstr>
  </property>
  <property fmtid="{D5CDD505-2E9C-101B-9397-08002B2CF9AE}" pid="9" name="MSIP_Label_f42aa342-8706-4288-bd11-ebb85995028c_SiteId">
    <vt:lpwstr>72f988bf-86f1-41af-91ab-2d7cd011db47</vt:lpwstr>
  </property>
  <property fmtid="{D5CDD505-2E9C-101B-9397-08002B2CF9AE}" pid="10" name="Sensitivity">
    <vt:lpwstr>General</vt:lpwstr>
  </property>
</Properties>
</file>